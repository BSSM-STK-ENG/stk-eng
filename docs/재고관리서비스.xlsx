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bssmhskr-my.sharepoint.com/personal/2023052_bssm_hs_kr/Documents/"/>
    </mc:Choice>
  </mc:AlternateContent>
  <xr:revisionPtr revIDLastSave="0" documentId="8_{8F19671C-F3DC-4209-A9C7-582A4AE264AA}" xr6:coauthVersionLast="47" xr6:coauthVersionMax="47" xr10:uidLastSave="{00000000-0000-0000-0000-000000000000}"/>
  <bookViews>
    <workbookView xWindow="31980" yWindow="500" windowWidth="36660" windowHeight="19540" xr2:uid="{456B19BA-CCBE-CF44-B4A3-686E458638AE}"/>
  </bookViews>
  <sheets>
    <sheet name="기능 명세서" sheetId="8" r:id="rId1"/>
    <sheet name="요구사항 정의서" sheetId="1" r:id="rId2"/>
    <sheet name="입고 조회" sheetId="2" r:id="rId3"/>
    <sheet name="재고 조회" sheetId="5" r:id="rId4"/>
  </sheets>
  <definedNames>
    <definedName name="_xlnm._FilterDatabase" localSheetId="3" hidden="1">'재고 조회'!$A$1:$M$176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5" l="1"/>
  <c r="L45" i="5"/>
  <c r="L40" i="5"/>
  <c r="L27" i="5"/>
  <c r="L78" i="5"/>
  <c r="L79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8" i="5"/>
  <c r="L29" i="5"/>
  <c r="L30" i="5"/>
  <c r="L31" i="5"/>
  <c r="L32" i="5"/>
  <c r="L33" i="5"/>
  <c r="L34" i="5"/>
  <c r="L35" i="5"/>
  <c r="L36" i="5"/>
  <c r="L37" i="5"/>
  <c r="L38" i="5"/>
  <c r="L39" i="5"/>
  <c r="L41" i="5"/>
  <c r="L42" i="5"/>
  <c r="L43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E175" i="5"/>
  <c r="F175" i="5"/>
  <c r="G175" i="5"/>
  <c r="H175" i="5"/>
  <c r="I175" i="5"/>
  <c r="J175" i="5"/>
  <c r="K175" i="5"/>
  <c r="L175" i="5" l="1"/>
</calcChain>
</file>

<file path=xl/sharedStrings.xml><?xml version="1.0" encoding="utf-8"?>
<sst xmlns="http://schemas.openxmlformats.org/spreadsheetml/2006/main" count="714" uniqueCount="565">
  <si>
    <t>Web_재고 관리 서비스_ 기능 명세서</t>
    <phoneticPr fontId="3" type="noConversion"/>
  </si>
  <si>
    <t>작성일 : 2025.12.16 / 작성자 : IT/ISO_김세진, 이지우</t>
    <phoneticPr fontId="3" type="noConversion"/>
  </si>
  <si>
    <t>구분</t>
    <phoneticPr fontId="3" type="noConversion"/>
  </si>
  <si>
    <t>주 기능</t>
    <phoneticPr fontId="3" type="noConversion"/>
  </si>
  <si>
    <t>상세 기능</t>
    <phoneticPr fontId="3" type="noConversion"/>
  </si>
  <si>
    <t>설명</t>
    <phoneticPr fontId="3" type="noConversion"/>
  </si>
  <si>
    <t>우선순위</t>
    <phoneticPr fontId="3" type="noConversion"/>
  </si>
  <si>
    <t>비고</t>
    <phoneticPr fontId="3" type="noConversion"/>
  </si>
  <si>
    <t>1. 회원가입</t>
    <phoneticPr fontId="3" type="noConversion"/>
  </si>
  <si>
    <t>1.1 이메일 가입</t>
    <phoneticPr fontId="3" type="noConversion"/>
  </si>
  <si>
    <t>1.1.1 이메일 인증</t>
    <phoneticPr fontId="3" type="noConversion"/>
  </si>
  <si>
    <t>낮음</t>
    <phoneticPr fontId="3" type="noConversion"/>
  </si>
  <si>
    <t>1.2 이메일 로그인</t>
    <phoneticPr fontId="3" type="noConversion"/>
  </si>
  <si>
    <t>1.3 로그아웃</t>
    <phoneticPr fontId="3" type="noConversion"/>
  </si>
  <si>
    <t>2. 재고 관리</t>
    <phoneticPr fontId="3" type="noConversion"/>
  </si>
  <si>
    <t>2.1 입고 조회</t>
    <phoneticPr fontId="3" type="noConversion"/>
  </si>
  <si>
    <t>2.1.1 등록</t>
    <phoneticPr fontId="3" type="noConversion"/>
  </si>
  <si>
    <t>조회 및 검색, 필터링 기능 추가.</t>
    <phoneticPr fontId="3" type="noConversion"/>
  </si>
  <si>
    <t>높음</t>
    <phoneticPr fontId="3" type="noConversion"/>
  </si>
  <si>
    <t>입고 조회 시트 참고.</t>
    <phoneticPr fontId="3" type="noConversion"/>
  </si>
  <si>
    <t>2.1.2 수정</t>
    <phoneticPr fontId="3" type="noConversion"/>
  </si>
  <si>
    <t>2.1.3 삭제</t>
    <phoneticPr fontId="3" type="noConversion"/>
  </si>
  <si>
    <t>2.1.4 내역 다운로드</t>
    <phoneticPr fontId="3" type="noConversion"/>
  </si>
  <si>
    <t>엑셀 파일(입고_내역_YYYYMMDD.xlsx)로 다운로드.</t>
  </si>
  <si>
    <t>2.2 출고 조회</t>
    <phoneticPr fontId="3" type="noConversion"/>
  </si>
  <si>
    <t>2.2.1 등록</t>
    <phoneticPr fontId="3" type="noConversion"/>
  </si>
  <si>
    <t>2.2.2 수정</t>
  </si>
  <si>
    <t>2.2.3 삭제</t>
  </si>
  <si>
    <t>2.2.4 내역 다운로드</t>
  </si>
  <si>
    <t>엑셀 파일(출고_내역_YYYYMMDD.xlsx)로 다운로드.</t>
  </si>
  <si>
    <t>2.3 현재 재고 조회</t>
    <phoneticPr fontId="3" type="noConversion"/>
  </si>
  <si>
    <t>2.4.1 내역 다운로드</t>
    <phoneticPr fontId="3" type="noConversion"/>
  </si>
  <si>
    <t>엑셀 파일(재고_현황_YYYYMMDD.xlsx)로 다운로드.</t>
  </si>
  <si>
    <t>재고 조회 시트 참고.</t>
    <phoneticPr fontId="3" type="noConversion"/>
  </si>
  <si>
    <t>2.4 재고 수불 조회</t>
    <phoneticPr fontId="3" type="noConversion"/>
  </si>
  <si>
    <t>2.5.1 내역 다운로드</t>
    <phoneticPr fontId="3" type="noConversion"/>
  </si>
  <si>
    <t>엑셀 파일(수불_현황_YYYYMMDD.xlsx)로 다운로드.</t>
  </si>
  <si>
    <t>중간</t>
    <phoneticPr fontId="3" type="noConversion"/>
  </si>
  <si>
    <t>2.5 마감 재고 조회</t>
    <phoneticPr fontId="3" type="noConversion"/>
  </si>
  <si>
    <t>2.6.1 마감처리</t>
    <phoneticPr fontId="3" type="noConversion"/>
  </si>
  <si>
    <t>마감 미완료시( 상태: 미마감, 버튼: 마감 처리 ) / 마감 완료시( 상태: 마감, 버튼: 취소 )
최초 입출고가 발생한 연월부터 순서대로 마감 처리 가능.
이전 월의 마감처리가 되지 않은 경우, 이전 월부터 마감처리를 해야 함.</t>
    <phoneticPr fontId="3" type="noConversion"/>
  </si>
  <si>
    <t>2.6 변경 재고 조회</t>
    <phoneticPr fontId="3" type="noConversion"/>
  </si>
  <si>
    <t>2.7.1 내역 다운로드</t>
    <phoneticPr fontId="3" type="noConversion"/>
  </si>
  <si>
    <t>엑셀 파일(변경_이력_YYYYMMDD.xlsx)로 다운로드.</t>
  </si>
  <si>
    <t>Web_재고 관리 서비스_ 요구사항 정의서</t>
    <phoneticPr fontId="3" type="noConversion"/>
  </si>
  <si>
    <t>기술스택</t>
    <phoneticPr fontId="3" type="noConversion"/>
  </si>
  <si>
    <t>(React or Vue), Spring</t>
    <phoneticPr fontId="3" type="noConversion"/>
  </si>
  <si>
    <t>기능명</t>
    <phoneticPr fontId="3" type="noConversion"/>
  </si>
  <si>
    <t>상세 설명</t>
    <phoneticPr fontId="3" type="noConversion"/>
  </si>
  <si>
    <t>필요 데이터</t>
    <phoneticPr fontId="3" type="noConversion"/>
  </si>
  <si>
    <t>요청 사항</t>
    <phoneticPr fontId="3" type="noConversion"/>
  </si>
  <si>
    <t>1.1 회원가입</t>
    <phoneticPr fontId="3" type="noConversion"/>
  </si>
  <si>
    <t>이메일 인증, 비밀번호 설정</t>
    <phoneticPr fontId="3" type="noConversion"/>
  </si>
  <si>
    <t>이메일, 인증코드, 비밀번호</t>
    <phoneticPr fontId="3" type="noConversion"/>
  </si>
  <si>
    <t>1.2 로그인</t>
    <phoneticPr fontId="3" type="noConversion"/>
  </si>
  <si>
    <t>이메일, 비밀번호</t>
    <phoneticPr fontId="3" type="noConversion"/>
  </si>
  <si>
    <t>JWT 방식으로 구현.</t>
    <phoneticPr fontId="3" type="noConversion"/>
  </si>
  <si>
    <t>2. 재고관리</t>
    <phoneticPr fontId="3" type="noConversion"/>
  </si>
  <si>
    <t>2.1 입고 조회, 등록, 수정, 삭제</t>
    <phoneticPr fontId="3" type="noConversion"/>
  </si>
  <si>
    <t>목록 조회창, 검색창, 각 항목 별 필터링, 버튼(다운로드, 등록, 삭제)</t>
    <phoneticPr fontId="3" type="noConversion"/>
  </si>
  <si>
    <t>사업장, 입고 날짜, 자재코드, 자재명, 수량, 자재위치, 비고(프로젝트명or안전재고), 참고</t>
    <phoneticPr fontId="3" type="noConversion"/>
  </si>
  <si>
    <t>2.2 출고 조회, 등록, 수정, 삭제</t>
    <phoneticPr fontId="3" type="noConversion"/>
  </si>
  <si>
    <t>사업장, 출고 날짜, 자재코드, 자재명, 수량, 자재위치, 출고 담당자, 비고(프로젝트명or안전재고), 참고</t>
    <phoneticPr fontId="3" type="noConversion"/>
  </si>
  <si>
    <t>목록 조회창, 검색창, 각 항목 별 필터링, 버튼(다운로드)</t>
    <phoneticPr fontId="3" type="noConversion"/>
  </si>
  <si>
    <t>자재코드, 자재명, 재고수량, 자재위치</t>
    <phoneticPr fontId="3" type="noConversion"/>
  </si>
  <si>
    <t>입출고 유형(입고or출고or반품or교환)</t>
    <phoneticPr fontId="3" type="noConversion"/>
  </si>
  <si>
    <t>2.5 마감 재고 조회, 마감처리</t>
    <phoneticPr fontId="3" type="noConversion"/>
  </si>
  <si>
    <t>목록 조회창, 검색창, 각 항목 별 필터링, 버튼(다운로드, 마감처리)</t>
    <phoneticPr fontId="3" type="noConversion"/>
  </si>
  <si>
    <t>기간, 상태(마감or미마감), 마감(마감처리or취소)</t>
    <phoneticPr fontId="3" type="noConversion"/>
  </si>
  <si>
    <t>변경일시, 입출고 번호, 작업화면, 자재위치, 자재코드, 자재명, 변경수량, 변경자</t>
    <phoneticPr fontId="3" type="noConversion"/>
  </si>
  <si>
    <t>입고 날짜</t>
    <phoneticPr fontId="3" type="noConversion"/>
  </si>
  <si>
    <t>자재코드</t>
    <phoneticPr fontId="3" type="noConversion"/>
  </si>
  <si>
    <t>참고</t>
    <phoneticPr fontId="3" type="noConversion"/>
  </si>
  <si>
    <t>자재명</t>
    <phoneticPr fontId="3" type="noConversion"/>
  </si>
  <si>
    <t>수량</t>
    <phoneticPr fontId="3" type="noConversion"/>
  </si>
  <si>
    <t>BG09000300002</t>
    <phoneticPr fontId="3" type="noConversion"/>
  </si>
  <si>
    <t>Fan Filter/ 1800x600x500 cabinet size</t>
    <phoneticPr fontId="3" type="noConversion"/>
  </si>
  <si>
    <t>BG09000300003</t>
  </si>
  <si>
    <t>Fan Filter / 1200x800x400 cabinet size</t>
    <phoneticPr fontId="3" type="noConversion"/>
  </si>
  <si>
    <t>BG09000300004</t>
  </si>
  <si>
    <t>Fan Filter / 600 X 800 X 250 cabinet size</t>
    <phoneticPr fontId="3" type="noConversion"/>
  </si>
  <si>
    <t>AA02340000735</t>
  </si>
  <si>
    <t>FM_Flowmeter converter/FC KOREA; FLOWMETER
CONVERTER; NON-EX; CN-100</t>
    <phoneticPr fontId="3" type="noConversion"/>
  </si>
  <si>
    <t>AA02340000959</t>
  </si>
  <si>
    <t>FRM_Geared motor/ MOTOR; 102; NON-EX; 650~1500ton, SF-609C 3A 71-04F (0.37kW), 371.25;; FRM</t>
    <phoneticPr fontId="3" type="noConversion"/>
  </si>
  <si>
    <t>A02340000959</t>
  </si>
  <si>
    <t>FRM_Geared motor/ MOTOR; 102; NON-EX;
650~1500ton, SF-609C 3A 71-04F (0.37kW), 371.25;;
FRM</t>
    <phoneticPr fontId="3" type="noConversion"/>
  </si>
  <si>
    <t>AA02340000730</t>
  </si>
  <si>
    <t>ELE_Pressure gauge/SKON; PP DIAPHRAGM PRESSURE
GAUGE; 331-64; 1/2</t>
    <phoneticPr fontId="3" type="noConversion"/>
  </si>
  <si>
    <t>AAS1000001693</t>
  </si>
  <si>
    <t>TIM_Air filter regulator/SMC; AIR FILTER REGULATOR;
AW20-02BG-B; MPa; 1/4"; A/S PART; TRO; TIM</t>
    <phoneticPr fontId="3" type="noConversion"/>
  </si>
  <si>
    <t>AAS1000000338</t>
  </si>
  <si>
    <t>ETT_Temperature sensor/WIKA; TEMPERATURESENSOR; ETT-100; TR34 WITH TW15+CABLE; 24V; A/SPART; ELE; ETT</t>
    <phoneticPr fontId="3" type="noConversion"/>
  </si>
  <si>
    <t>AA02340000931</t>
  </si>
  <si>
    <t>TIM_Air sampling pump/IWAKI; AIR SAMPLING PUMP;TC-X050PT-PP; 11.5LPM, 0.7MPa TIM</t>
    <phoneticPr fontId="3" type="noConversion"/>
  </si>
  <si>
    <t>FM_Flowmeter converter/FC KOREA; FLOWMETERCONVERTER; NON-EX; CN-100 /</t>
    <phoneticPr fontId="3" type="noConversion"/>
  </si>
  <si>
    <t>AA02340000726</t>
  </si>
  <si>
    <t>ETT_Temperature sensor/JUMO; TEMPERATURESENSOR; ETT-100; 4~20mA; PTFE COATING; A/S PART;ELE; ETT</t>
    <phoneticPr fontId="3" type="noConversion"/>
  </si>
  <si>
    <t>SMSRSPC-X32; PROCESS CONTROL; REDUNDANT SYS;32BITS</t>
    <phoneticPr fontId="3" type="noConversion"/>
  </si>
  <si>
    <t>AAS1000000444</t>
  </si>
  <si>
    <t xml:space="preserve">REC_Control board/CONTROL BOARD; IGBT(DDI); KBL02583 REC </t>
    <phoneticPr fontId="3" type="noConversion"/>
  </si>
  <si>
    <t>AA02340000857</t>
  </si>
  <si>
    <t>PDP_Inverter/VACON; INVERTER; 5.5kW; 3L-0012-5-
FLOW+EMC4+DPAP+EMAR; A/S PART; MCP/PDP</t>
    <phoneticPr fontId="3" type="noConversion"/>
  </si>
  <si>
    <t>AAS1000001603</t>
  </si>
  <si>
    <t>FILTER_Nozzle/COSCO; NOZZLE; 200~4000 ton;
01.01.25.042;</t>
    <phoneticPr fontId="3" type="noConversion"/>
  </si>
  <si>
    <t>AAS1000002084</t>
  </si>
  <si>
    <t xml:space="preserve">FILTER_O-ring/COSCO; O-RING; 03.01.03.872; 1; A/S
PART; FILTER </t>
    <phoneticPr fontId="3" type="noConversion"/>
  </si>
  <si>
    <t>AAS1000002088</t>
  </si>
  <si>
    <t>FILTER_O-ring/COSCO; O-RING; 03.01.03.805; 11; A/S
PART; FILTER</t>
    <phoneticPr fontId="3" type="noConversion"/>
  </si>
  <si>
    <t>AAS1000002089</t>
  </si>
  <si>
    <t>FILTER_O-ring/COSCO; O-RING; 03.01.03.807; 12; A/S
PART; FILTER</t>
    <phoneticPr fontId="3" type="noConversion"/>
  </si>
  <si>
    <t>AAS1000002090</t>
  </si>
  <si>
    <t>FILTER_O-ring/COSCO; O-RING; 03.01.03.836; 13; A/S
PART; FILTER</t>
    <phoneticPr fontId="3" type="noConversion"/>
  </si>
  <si>
    <t>AAS1000002133</t>
  </si>
  <si>
    <t>FILTER_Scrapper seal/COSCO; SCRAPPER SEAL;
10.01.23.041; 14; A/S PART; FILTER</t>
    <phoneticPr fontId="3" type="noConversion"/>
  </si>
  <si>
    <t>AAS1000002056</t>
  </si>
  <si>
    <t>FILTER_O-ring/COSCO; O-RING; 01.01.23.038; A/S
PART; FILTER</t>
    <phoneticPr fontId="3" type="noConversion"/>
  </si>
  <si>
    <t>AAS1000002099</t>
  </si>
  <si>
    <t>FILTER_O-ring/COSCO; O-RING; 03.01.03.314; A/S
PART; FILTER</t>
    <phoneticPr fontId="3" type="noConversion"/>
  </si>
  <si>
    <t>AAS1000001604</t>
  </si>
  <si>
    <t>FILTER_Spring ring/COSCO; SPRING RING; 200~4000
ton; 01.01.22.309;</t>
    <phoneticPr fontId="3" type="noConversion"/>
  </si>
  <si>
    <t>AAS1000002085</t>
  </si>
  <si>
    <t>FILTER_O-ring/COSCO; O-RING; 03.01.03.019; 2; A/S
PART; FILTER</t>
    <phoneticPr fontId="3" type="noConversion"/>
  </si>
  <si>
    <t>AAS1000001605</t>
  </si>
  <si>
    <t>FILTER_Sealing ring/COSCO; SEALING RING; 200~4000
ton; 07.02.01.063</t>
    <phoneticPr fontId="3" type="noConversion"/>
  </si>
  <si>
    <t>AAS1000002086</t>
  </si>
  <si>
    <t>FILTER_O-ring/COSCO; O-RING; 03.03.03.812; 4; A/S
PART; FILTER</t>
    <phoneticPr fontId="3" type="noConversion"/>
  </si>
  <si>
    <t>AAS1000001910</t>
  </si>
  <si>
    <t>FILTER_Set screw/COSCO; SET SCREW; 200~4000 ton;
03.05.04.027</t>
    <phoneticPr fontId="3" type="noConversion"/>
  </si>
  <si>
    <t>AAS1000002057</t>
  </si>
  <si>
    <t>FILTER_O-ring/COSCO; O-RING; 03.01.03.271; A/S
PART; FILTER</t>
    <phoneticPr fontId="3" type="noConversion"/>
  </si>
  <si>
    <t>AAS1000002098</t>
  </si>
  <si>
    <t>FILTER_Sealing ring/COSCO; SEALING; 03.01.03.454;
A/S PART; FILTER /</t>
    <phoneticPr fontId="3" type="noConversion"/>
  </si>
  <si>
    <t>AAS1000002087</t>
  </si>
  <si>
    <t>FILTER_O-ring/COSCO; O-RING; 03.01.03.828; 7; A/S
PART; FILTER</t>
    <phoneticPr fontId="3" type="noConversion"/>
  </si>
  <si>
    <t>AA02340000971</t>
  </si>
  <si>
    <t>FRM_O-ring/ O-RING; 111; 2000~4500 TON;; FRM /</t>
    <phoneticPr fontId="3" type="noConversion"/>
  </si>
  <si>
    <t>AAS1000001843</t>
  </si>
  <si>
    <t>FILTER_GASKET/ YOOWON; RING GASKET; 130; 200A;
2000~4000 TON;</t>
    <phoneticPr fontId="3" type="noConversion"/>
  </si>
  <si>
    <t>AAS1000001707</t>
  </si>
  <si>
    <t>FILTER_Element/ FILTER ELEMENT; 308-1; 250~4500 TON; 250MESH; CAP EXTENSION; 50 micron;;
ELEMENT</t>
    <phoneticPr fontId="3" type="noConversion"/>
  </si>
  <si>
    <t>AA02340000908</t>
  </si>
  <si>
    <t>TRO_Air regulator/SKP; AIR REGULATOR;
SAU2020M; SAR2000+SAF2000D</t>
    <phoneticPr fontId="3" type="noConversion"/>
  </si>
  <si>
    <t>AAS1000001594</t>
  </si>
  <si>
    <t>ELE_Air regulator/DONGHUN; AIR REGULATOR; KCC; KAU201-02T; 1/4"; Mpa</t>
    <phoneticPr fontId="3" type="noConversion"/>
  </si>
  <si>
    <t>BF01050200001</t>
    <phoneticPr fontId="3" type="noConversion"/>
  </si>
  <si>
    <t>EPT_Pressure transmitter/NURITECH; PRESSURESENSOR; EPT-100; MP-600; 0~10bar EPT</t>
    <phoneticPr fontId="3" type="noConversion"/>
  </si>
  <si>
    <t>AAS1000001650</t>
  </si>
  <si>
    <t>TRO_Spring check valve/S-LOK; SPRING CHECK VALVE;
SCH2-S-12M-10-S6; 10PSI; A/S PART; TRO; /</t>
    <phoneticPr fontId="3" type="noConversion"/>
  </si>
  <si>
    <t>AAS1000001454</t>
  </si>
  <si>
    <t>EFM_Flowmeter assembly/FC KOREA; FLOWMETER
ASSEMBLY; 10K 65A; 0~30.0m3/hr;
BODY+CONVERTER EFM</t>
    <phoneticPr fontId="3" type="noConversion"/>
  </si>
  <si>
    <t>AAS1000000372</t>
  </si>
  <si>
    <r>
      <t>자재</t>
    </r>
    <r>
      <rPr>
        <b/>
        <sz val="9"/>
        <color rgb="FFFF0000"/>
        <rFont val="Calibri"/>
        <family val="2"/>
      </rPr>
      <t xml:space="preserve"> </t>
    </r>
    <r>
      <rPr>
        <b/>
        <sz val="9"/>
        <color rgb="FFFF0000"/>
        <rFont val="맑은 고딕"/>
        <family val="3"/>
        <charset val="129"/>
        <scheme val="minor"/>
      </rPr>
      <t>사양</t>
    </r>
    <r>
      <rPr>
        <b/>
        <sz val="9"/>
        <color rgb="FFFF0000"/>
        <rFont val="Calibri"/>
        <family val="2"/>
      </rPr>
      <t xml:space="preserve"> </t>
    </r>
    <r>
      <rPr>
        <b/>
        <sz val="9"/>
        <color rgb="FFFF0000"/>
        <rFont val="맑은 고딕"/>
        <family val="3"/>
        <charset val="129"/>
        <scheme val="minor"/>
      </rPr>
      <t>상이함</t>
    </r>
    <r>
      <rPr>
        <b/>
        <sz val="9"/>
        <color rgb="FFFF0000"/>
        <rFont val="Calibri"/>
        <family val="2"/>
      </rPr>
      <t>.</t>
    </r>
    <phoneticPr fontId="3" type="noConversion"/>
  </si>
  <si>
    <t>NEU_MOV valve/HANYOUNG; NEU MOV VALVE; KLWBP-1P-10A</t>
    <phoneticPr fontId="3" type="noConversion"/>
  </si>
  <si>
    <t>BF01080000153</t>
    <phoneticPr fontId="3" type="noConversion"/>
  </si>
  <si>
    <t>REC_Fuse/FUSE; JRS62-100A, 600V REC</t>
    <phoneticPr fontId="3" type="noConversion"/>
  </si>
  <si>
    <t>AAS1000001112</t>
  </si>
  <si>
    <t>TIM_Needle valve/S-LOK; NEEDLE VALVE; SNV2-S-8MS6 TIM</t>
    <phoneticPr fontId="3" type="noConversion"/>
  </si>
  <si>
    <t>AAS1000001301</t>
  </si>
  <si>
    <t>TIM_Ball valve/S-LOK; BALL VALVE; SBVA-S-8M-S;
1000psi; 8mm TIM</t>
    <phoneticPr fontId="3" type="noConversion"/>
  </si>
  <si>
    <t>BF01050200005</t>
    <phoneticPr fontId="3" type="noConversion"/>
  </si>
  <si>
    <t>EPT_Pressure transmitter/NURITECH;PRESSURE TRANSMITTER; EPT-100; MP-600;0~1.5MPa EPT</t>
    <phoneticPr fontId="3" type="noConversion"/>
  </si>
  <si>
    <t>BF01040100008</t>
    <phoneticPr fontId="3" type="noConversion"/>
  </si>
  <si>
    <t>REC_Rectifier/ RECTIFIER; REC-100; 3PH 440VDC220V, 210A, 42kW; IGBT; IP44; 7.5BG 7/2 REC</t>
    <phoneticPr fontId="3" type="noConversion"/>
  </si>
  <si>
    <t>FM_Flowmeter converter/FC KOREA; FLOWMETERCONVERTER; NON-EX; CN-100</t>
    <phoneticPr fontId="3" type="noConversion"/>
  </si>
  <si>
    <t>FRM_O-ring/ O-RING; 111; 2000~4500 TON;; FRM</t>
    <phoneticPr fontId="3" type="noConversion"/>
  </si>
  <si>
    <r>
      <t>호환가능</t>
    </r>
    <r>
      <rPr>
        <b/>
        <sz val="9"/>
        <color rgb="FFFF0000"/>
        <rFont val="Calibri"/>
        <family val="2"/>
      </rPr>
      <t xml:space="preserve">. </t>
    </r>
    <r>
      <rPr>
        <b/>
        <sz val="9"/>
        <color rgb="FFFF0000"/>
        <rFont val="맑은 고딕"/>
        <family val="3"/>
        <charset val="129"/>
        <scheme val="minor"/>
      </rPr>
      <t>생김새</t>
    </r>
    <r>
      <rPr>
        <b/>
        <sz val="9"/>
        <color rgb="FFFF0000"/>
        <rFont val="Calibri"/>
        <family val="2"/>
      </rPr>
      <t xml:space="preserve"> </t>
    </r>
    <r>
      <rPr>
        <b/>
        <sz val="9"/>
        <color rgb="FFFF0000"/>
        <rFont val="맑은 고딕"/>
        <family val="3"/>
        <charset val="129"/>
        <scheme val="minor"/>
      </rPr>
      <t>상이</t>
    </r>
    <r>
      <rPr>
        <b/>
        <sz val="9"/>
        <color rgb="FFFF0000"/>
        <rFont val="Calibri"/>
        <family val="2"/>
      </rPr>
      <t xml:space="preserve"> </t>
    </r>
  </si>
  <si>
    <t>AA02340001025</t>
  </si>
  <si>
    <t>FILTER_Cover gasket/ COVER GASKET; 208; 4000
TON; 5K; STANDARD</t>
    <phoneticPr fontId="3" type="noConversion"/>
  </si>
  <si>
    <t>AAS1000001628</t>
  </si>
  <si>
    <t>TRO_Air sampling pump/GRACO; AIR SAMPLINGPUMP; HUSKY-205; 18.9LPM; 0.7Mpa</t>
    <phoneticPr fontId="3" type="noConversion"/>
  </si>
  <si>
    <t>안전재고</t>
    <phoneticPr fontId="3" type="noConversion"/>
  </si>
  <si>
    <t>AA02340000911</t>
  </si>
  <si>
    <t>TRO_Electric ball valve/KITZ; ELECTRIC CONTROL BALL
VALVE; DC24</t>
    <phoneticPr fontId="3" type="noConversion"/>
  </si>
  <si>
    <t>AAS1000001979</t>
  </si>
  <si>
    <t>TRO_Check valve flushing kit/HF; CHECK VALVE
FLUSHING KIT; 25096</t>
    <phoneticPr fontId="3" type="noConversion"/>
  </si>
  <si>
    <t>AAS1000001975</t>
  </si>
  <si>
    <t>TRO_Strainer &amp; regulator assembly/HF; STRAINER &amp;
REGULATOR ASSEMBLY; 25357</t>
    <phoneticPr fontId="3" type="noConversion"/>
  </si>
  <si>
    <t>AAS1000001988</t>
  </si>
  <si>
    <t>TRO_Intake sol' v/v/HF; INTAKE SOLENOID VALVE;28413S</t>
    <phoneticPr fontId="3" type="noConversion"/>
  </si>
  <si>
    <t>AAS1000001973</t>
  </si>
  <si>
    <t>TRO_Optic sensor/HF; OPTIC SENSOR; 24985S</t>
    <phoneticPr fontId="3" type="noConversion"/>
  </si>
  <si>
    <t>AAS1000001989</t>
  </si>
  <si>
    <t>TRO_Tubing kit (Ex type)/HF; TUBING KIT (INCLUDE CUVETTE); 09950EX</t>
    <phoneticPr fontId="3" type="noConversion"/>
  </si>
  <si>
    <t>AAS1000000725</t>
  </si>
  <si>
    <t>REC_SMPS/SMPS; IGBT(DDI); CENTER;KBL02942; v.3 REC</t>
    <phoneticPr fontId="3" type="noConversion"/>
  </si>
  <si>
    <t>AAS1000000726</t>
  </si>
  <si>
    <t>REC_SMPS/SMPS; IGBT(DDI); SIDE;KBL02942; v.3 REC</t>
    <phoneticPr fontId="3" type="noConversion"/>
  </si>
  <si>
    <t>AAS1000000727</t>
  </si>
  <si>
    <t>REC_SMPS/SMPS; MOSFET(DD); CENTER;KBL02941 REC</t>
    <phoneticPr fontId="3" type="noConversion"/>
  </si>
  <si>
    <t>AAS1000000728</t>
  </si>
  <si>
    <t>REC_SMPS/SMPS; MOSFET(DD); SIDE;KBL02941 REC</t>
    <phoneticPr fontId="3" type="noConversion"/>
  </si>
  <si>
    <t>AA02340000977</t>
  </si>
  <si>
    <t>FILTER_Element O-ring/ O-RING; 308-2; 125~4500
TON;; ELEMENT</t>
    <phoneticPr fontId="3" type="noConversion"/>
  </si>
  <si>
    <t xml:space="preserve"> AAS1000001978</t>
  </si>
  <si>
    <t>HF; REAGENT KIT [BUFFER 1+ INDICATOR 4]; 09991; A/S PART; TRO</t>
    <phoneticPr fontId="3" type="noConversion"/>
  </si>
  <si>
    <t>AAS1000001987</t>
  </si>
  <si>
    <t>HF; COOLING CHAMBER POWER SUPPLY; 28360S; A/S PART; TRO</t>
    <phoneticPr fontId="3" type="noConversion"/>
  </si>
  <si>
    <t>BG09001300045</t>
  </si>
  <si>
    <t>RSPC-X32 / RSPC-X32;VER 201605 (CASE MAT. CHANGE);COMPLETE</t>
    <phoneticPr fontId="3" type="noConversion"/>
  </si>
  <si>
    <t>BG09001300046</t>
  </si>
  <si>
    <t>SPDI-24 / DI 24CH;VER 201605 (CASE MAT. CHANGE);COMPLETE</t>
    <phoneticPr fontId="3" type="noConversion"/>
  </si>
  <si>
    <t>BG09001300052</t>
  </si>
  <si>
    <t>CPU BB</t>
    <phoneticPr fontId="3" type="noConversion"/>
  </si>
  <si>
    <t>BG09001300055</t>
  </si>
  <si>
    <t>8ch IO Baseboard</t>
    <phoneticPr fontId="3" type="noConversion"/>
  </si>
  <si>
    <t>AA02181100012</t>
  </si>
  <si>
    <t>LCU-PCB-V15;LCU PCB VER 2.0;</t>
    <phoneticPr fontId="3" type="noConversion"/>
  </si>
  <si>
    <t>BOX 번호</t>
    <phoneticPr fontId="3" type="noConversion"/>
  </si>
  <si>
    <t>자재위치</t>
    <phoneticPr fontId="3" type="noConversion"/>
  </si>
  <si>
    <t>입고수량</t>
    <phoneticPr fontId="3" type="noConversion"/>
  </si>
  <si>
    <t>총수량</t>
    <phoneticPr fontId="3" type="noConversion"/>
  </si>
  <si>
    <t>11_3</t>
    <phoneticPr fontId="3" type="noConversion"/>
  </si>
  <si>
    <t>BG09001300013</t>
  </si>
  <si>
    <t>SPAI-16 Original</t>
    <phoneticPr fontId="3" type="noConversion"/>
  </si>
  <si>
    <t>BG09001300038</t>
  </si>
  <si>
    <t>SPRI-16 Original / SPRI-16;RTD 16CH;VER A TYPE;COMPLETE</t>
    <phoneticPr fontId="3" type="noConversion"/>
  </si>
  <si>
    <t>11_5</t>
    <phoneticPr fontId="3" type="noConversion"/>
  </si>
  <si>
    <t>BG09001300044</t>
  </si>
  <si>
    <t>SPDI-16 / DI 16CH;VER 201501 TYPE;COMPLETE</t>
    <phoneticPr fontId="3" type="noConversion"/>
  </si>
  <si>
    <t>11_6</t>
  </si>
  <si>
    <t>11_8</t>
    <phoneticPr fontId="3" type="noConversion"/>
  </si>
  <si>
    <t>이사님1ea 12/09 출고,이사님1ea 12/10반납</t>
    <phoneticPr fontId="3" type="noConversion"/>
  </si>
  <si>
    <t>13_8</t>
    <phoneticPr fontId="3" type="noConversion"/>
  </si>
  <si>
    <t>BG09001300047</t>
  </si>
  <si>
    <t>SPDO-16 / DO 16CH;VER 201605 (CASE MAT. CHANGE);COMPLETE</t>
    <phoneticPr fontId="3" type="noConversion"/>
  </si>
  <si>
    <t>11_7</t>
    <phoneticPr fontId="3" type="noConversion"/>
  </si>
  <si>
    <t>BG09001300048</t>
  </si>
  <si>
    <t>SPRDO-16 / RDO 16CH;VER 201605 (CASE MAT. CHANGE);COMPLETE</t>
    <phoneticPr fontId="3" type="noConversion"/>
  </si>
  <si>
    <t>11_10</t>
    <phoneticPr fontId="3" type="noConversion"/>
  </si>
  <si>
    <t>BG09001300049</t>
  </si>
  <si>
    <t>SPAI-16 New / AI 16CH;VER 201605 (CASE MAT. CHANGE);COMPLETE</t>
    <phoneticPr fontId="3" type="noConversion"/>
  </si>
  <si>
    <t>11_9</t>
    <phoneticPr fontId="3" type="noConversion"/>
  </si>
  <si>
    <t>BG09001300050</t>
  </si>
  <si>
    <t>SPAO-8 / AO 8CH;VER 201605 (CASE MAT. CHANGE);COMPLETE</t>
    <phoneticPr fontId="3" type="noConversion"/>
  </si>
  <si>
    <t>13_10</t>
    <phoneticPr fontId="3" type="noConversion"/>
  </si>
  <si>
    <t>BG09001300051</t>
  </si>
  <si>
    <t>SPRI-16 New / RTD 16CH;VER 201605 (CASE MAT. CHANGE);COMPLETE</t>
    <phoneticPr fontId="3" type="noConversion"/>
  </si>
  <si>
    <t xml:space="preserve"> 대표님 12/08 1EA반납, 이사님1ea 12/09 출고, 이사님1ea 12/10 반납</t>
    <phoneticPr fontId="3" type="noConversion"/>
  </si>
  <si>
    <t>12_6</t>
    <phoneticPr fontId="3" type="noConversion"/>
  </si>
  <si>
    <t>BG09001300053</t>
  </si>
  <si>
    <t>35038807 2ea-&gt;1ea수정 12/10</t>
    <phoneticPr fontId="3" type="noConversion"/>
  </si>
  <si>
    <t>12_1,12_7</t>
    <phoneticPr fontId="3" type="noConversion"/>
  </si>
  <si>
    <t>I/O-24-BB / I/O BASEBOARD 24CH;VER 201605 (CASE MAT. CHANGE);COMPLETE</t>
    <phoneticPr fontId="3" type="noConversion"/>
  </si>
  <si>
    <t>12_10</t>
    <phoneticPr fontId="3" type="noConversion"/>
  </si>
  <si>
    <t>BG09001300054</t>
  </si>
  <si>
    <t>I/O-16-BB / I/O BASEBOARD 16CH;VER 201605 (CASE MAT. CHANGE);COMPLETE</t>
    <phoneticPr fontId="3" type="noConversion"/>
  </si>
  <si>
    <t>이사님1ea 12/09 출고, 이사님1ea 12/10반납</t>
    <phoneticPr fontId="3" type="noConversion"/>
  </si>
  <si>
    <t>12_8</t>
    <phoneticPr fontId="3" type="noConversion"/>
  </si>
  <si>
    <t>12_9</t>
    <phoneticPr fontId="3" type="noConversion"/>
  </si>
  <si>
    <t>BG09001300056
(A9BBPA10056000)</t>
  </si>
  <si>
    <t>RDO Baseboard</t>
    <phoneticPr fontId="3" type="noConversion"/>
  </si>
  <si>
    <t>13_6</t>
    <phoneticPr fontId="3" type="noConversion"/>
  </si>
  <si>
    <t>BG11000100003</t>
  </si>
  <si>
    <t>RAU COMPLETE-B FOR C/S PART (2세대)</t>
    <phoneticPr fontId="3" type="noConversion"/>
  </si>
  <si>
    <t>15-1</t>
    <phoneticPr fontId="3" type="noConversion"/>
  </si>
  <si>
    <t>BG11000100980</t>
  </si>
  <si>
    <t>RAU COMPLETE-B FOR C/S PART (3세대, 신형)</t>
    <phoneticPr fontId="3" type="noConversion"/>
  </si>
  <si>
    <t>12_5</t>
    <phoneticPr fontId="3" type="noConversion"/>
  </si>
  <si>
    <t>BG15000900009</t>
  </si>
  <si>
    <t>LCP100-24 Power Supply</t>
    <phoneticPr fontId="3" type="noConversion"/>
  </si>
  <si>
    <t>BGA0110400004</t>
  </si>
  <si>
    <t>BASEBOARD CASE (1box:60ea)</t>
    <phoneticPr fontId="3" type="noConversion"/>
  </si>
  <si>
    <t xml:space="preserve">다시 확인 필요 </t>
    <phoneticPr fontId="3" type="noConversion"/>
  </si>
  <si>
    <t>BGA0110400005</t>
  </si>
  <si>
    <t>SSAS-PRO CARD CASE-UPPER;UPPER;SSAS PRO CASE;WITH NAM PLATE</t>
    <phoneticPr fontId="3" type="noConversion"/>
  </si>
  <si>
    <t xml:space="preserve">up-&gt;152 dowen-&gt;163 다시 확인 필요 </t>
    <phoneticPr fontId="3" type="noConversion"/>
  </si>
  <si>
    <t>14_8</t>
    <phoneticPr fontId="3" type="noConversion"/>
  </si>
  <si>
    <t>AA03050100006</t>
  </si>
  <si>
    <t>SSAS-LPMS-COMPLETE(GL CERT);CPU,IO,PCT,BASE WITH CASE;VER B TYPE(GL CERTIFIED)</t>
    <phoneticPr fontId="3" type="noConversion"/>
  </si>
  <si>
    <t>12/08 고장수리 2EA 입고</t>
    <phoneticPr fontId="3" type="noConversion"/>
  </si>
  <si>
    <t>13_1</t>
    <phoneticPr fontId="3" type="noConversion"/>
  </si>
  <si>
    <t>AA03181100013</t>
  </si>
  <si>
    <t>LCU-PCB-V15;LCU PCB VER 2.0;</t>
  </si>
  <si>
    <t>11_1</t>
    <phoneticPr fontId="3" type="noConversion"/>
  </si>
  <si>
    <t>BG13000100055</t>
  </si>
  <si>
    <t>HUB-16P; DIVA-S0516; WITH BRACKET; AC 220V</t>
    <phoneticPr fontId="3" type="noConversion"/>
  </si>
  <si>
    <t>21-1</t>
    <phoneticPr fontId="3" type="noConversion"/>
  </si>
  <si>
    <t>16PORT HUB(서비스용)</t>
    <phoneticPr fontId="3" type="noConversion"/>
  </si>
  <si>
    <t>16 port HUB/ 인터넷 구매/서비스용/ZYXEL GS1100-16</t>
    <phoneticPr fontId="3" type="noConversion"/>
  </si>
  <si>
    <t>21-2</t>
    <phoneticPr fontId="3" type="noConversion"/>
  </si>
  <si>
    <t>8PORT HUB</t>
    <phoneticPr fontId="3" type="noConversion"/>
  </si>
  <si>
    <t>8 PORT HUB/인터넷 구매/ 서비스용/HPE R8R45A 1430 8G</t>
    <phoneticPr fontId="3" type="noConversion"/>
  </si>
  <si>
    <t>BG33001300004</t>
  </si>
  <si>
    <t xml:space="preserve">SPBUS 1.2M FEMALE </t>
    <phoneticPr fontId="3" type="noConversion"/>
  </si>
  <si>
    <t>삭제예정</t>
    <phoneticPr fontId="3" type="noConversion"/>
  </si>
  <si>
    <t>BG03000100061 (에스엔시스PB)</t>
  </si>
  <si>
    <t>WS HP 800 G3 (Workstation)</t>
    <phoneticPr fontId="3" type="noConversion"/>
  </si>
  <si>
    <t>STK</t>
    <phoneticPr fontId="3" type="noConversion"/>
  </si>
  <si>
    <t xml:space="preserve">BG03000100061 </t>
  </si>
  <si>
    <t>자재 교환</t>
    <phoneticPr fontId="3" type="noConversion"/>
  </si>
  <si>
    <t>O100000001</t>
    <phoneticPr fontId="3" type="noConversion"/>
  </si>
  <si>
    <t>WS HP 800 G9 (Workstation) FOR SSAS PRO</t>
    <phoneticPr fontId="3" type="noConversion"/>
  </si>
  <si>
    <t>2_9</t>
    <phoneticPr fontId="3" type="noConversion"/>
  </si>
  <si>
    <t>BG03000700030</t>
  </si>
  <si>
    <t>SMCU SSD/ SMCU SSD; SSD 128GB; SATA; WINDOWS 10 /256GB</t>
  </si>
  <si>
    <t>4_1</t>
    <phoneticPr fontId="3" type="noConversion"/>
  </si>
  <si>
    <t>BG03000700014/BG03000700043</t>
  </si>
  <si>
    <t>CCR SMCU-1000B</t>
    <phoneticPr fontId="3" type="noConversion"/>
  </si>
  <si>
    <t>4_2,3_1</t>
    <phoneticPr fontId="3" type="noConversion"/>
  </si>
  <si>
    <t>BG03000700015BG03000700044</t>
  </si>
  <si>
    <t xml:space="preserve">MCP SMCU-1000B </t>
    <phoneticPr fontId="3" type="noConversion"/>
  </si>
  <si>
    <t>2_1,2_2</t>
    <phoneticPr fontId="3" type="noConversion"/>
  </si>
  <si>
    <t>AA03340000374 / AAS1000001978</t>
  </si>
  <si>
    <t>DONGMOON; REAGENT KIT; 1 YEAR; 09991; A/S PART; TRO;</t>
    <phoneticPr fontId="3" type="noConversion"/>
  </si>
  <si>
    <t>1_5</t>
    <phoneticPr fontId="3" type="noConversion"/>
  </si>
  <si>
    <t>AAS1000001983/AA03340000933</t>
  </si>
  <si>
    <t>DONGMOON; PCB (WITH LCD &amp; KEYPAD); 24429RS; A/S PART; TRO;</t>
    <phoneticPr fontId="3" type="noConversion"/>
  </si>
  <si>
    <t>1_4</t>
    <phoneticPr fontId="3" type="noConversion"/>
  </si>
  <si>
    <t>AA03340000903/AAS1000001638</t>
  </si>
  <si>
    <t>DONGMOON; HUSKY-205 AIR PUMP; A/S PART; TRO;</t>
    <phoneticPr fontId="3" type="noConversion"/>
  </si>
  <si>
    <t>1_8</t>
    <phoneticPr fontId="3" type="noConversion"/>
  </si>
  <si>
    <t>AA03340000333/ AAS1000001976</t>
  </si>
  <si>
    <t>HF; COOLING CHAMBER; 28365MS; A/S PART; TRO</t>
    <phoneticPr fontId="3" type="noConversion"/>
  </si>
  <si>
    <t>2_8</t>
    <phoneticPr fontId="3" type="noConversion"/>
  </si>
  <si>
    <t>AA03340000931 / AAS1000001981</t>
  </si>
  <si>
    <t>DONGMOON; WATER INTAKE ASSEMBLY WITH T-STRAINER; 28411; A/S PART; TRO;</t>
    <phoneticPr fontId="3" type="noConversion"/>
  </si>
  <si>
    <t>1_1</t>
    <phoneticPr fontId="3" type="noConversion"/>
  </si>
  <si>
    <t>AA03340000360/AAS1000001973</t>
  </si>
  <si>
    <t>AAS1000001531</t>
  </si>
  <si>
    <t>TIM_Solenoid valve/YB; SOLENOID VALVE; PARKER; 3-WAY;
341Z322TNML-495905C2; 10bar; 1/4</t>
    <phoneticPr fontId="3" type="noConversion"/>
  </si>
  <si>
    <t>1_3</t>
    <phoneticPr fontId="3" type="noConversion"/>
  </si>
  <si>
    <t>AA03340000911</t>
  </si>
  <si>
    <t>DONGMOON; ELECTRIC CONTROL BALL VALVE; KITZ; DC24; A/S PART; TRO;</t>
    <phoneticPr fontId="3" type="noConversion"/>
  </si>
  <si>
    <t>2_4</t>
    <phoneticPr fontId="3" type="noConversion"/>
  </si>
  <si>
    <t>BF04040000030 /AAS1000001975</t>
  </si>
  <si>
    <t>TRO_Strainer &amp; regulator assembly/HF; STRAINER &amp;REGULATOR ASSEMBLY; 25357</t>
  </si>
  <si>
    <t>AA03340000930 / AAS1000001980</t>
  </si>
  <si>
    <t>DONGMOON; T-STRAINER SCREEN (POLYMER); 28625S; A/S PART; TRO;</t>
    <phoneticPr fontId="3" type="noConversion"/>
  </si>
  <si>
    <t>2_3</t>
    <phoneticPr fontId="3" type="noConversion"/>
  </si>
  <si>
    <t>BF04000000977</t>
    <phoneticPr fontId="3" type="noConversion"/>
  </si>
  <si>
    <t>DONGMOON; WATER-DAMAGE AS KIT (1/2); USE WITH BF05000000424; A/S PART; TRO</t>
    <phoneticPr fontId="3" type="noConversion"/>
  </si>
  <si>
    <t>BF05000000434</t>
  </si>
  <si>
    <t>YB; WATER-DAMAGE AS KIT (2/2); USE WITH BF04000000977; A/S PART; TRO; TIM</t>
    <phoneticPr fontId="3" type="noConversion"/>
  </si>
  <si>
    <t>삭제예정</t>
  </si>
  <si>
    <t>2_6</t>
    <phoneticPr fontId="3" type="noConversion"/>
  </si>
  <si>
    <t>BF04040000006/AAS1000001974</t>
  </si>
  <si>
    <t>DONGMOON; OPTIC CHECK VALVE SET; 25017S; A/S PART; TRO;</t>
    <phoneticPr fontId="3" type="noConversion"/>
  </si>
  <si>
    <t>AA03340000355/AAS1000001979</t>
  </si>
  <si>
    <t>DONGMOON; CHECK VALVE FLUSHING KIT; 25096; A/S PART; TRO;</t>
    <phoneticPr fontId="3" type="noConversion"/>
  </si>
  <si>
    <t>AAS1000000334/AAS1000001989</t>
  </si>
  <si>
    <t>DONGMOON; TUBING/CUVETTE KIT; 09950EX; A/S PART; TRO;</t>
    <phoneticPr fontId="3" type="noConversion"/>
  </si>
  <si>
    <t>AAS1000000335/AAS1000001990</t>
  </si>
  <si>
    <t>DONGMOON; TUBING/CUVETTE KIT; 09950XT; A/S PART; TRO;</t>
    <phoneticPr fontId="3" type="noConversion"/>
  </si>
  <si>
    <t>3_5</t>
    <phoneticPr fontId="3" type="noConversion"/>
  </si>
  <si>
    <t>AA03340000370/AAS1000001977</t>
  </si>
  <si>
    <t>DONGMOON; DRAIN SOLENOID VALVE; 28414; 5PSI, 7W; A/S PART; TRO; / 5/32</t>
    <phoneticPr fontId="3" type="noConversion"/>
  </si>
  <si>
    <t>AA03340003045/AAS1000001988</t>
  </si>
  <si>
    <t>DONGMOON; INTAKE SOLENOID VALVE; 28413; 45PSI, 7W; A/S PART; TRO; / 3/32</t>
    <phoneticPr fontId="3" type="noConversion"/>
  </si>
  <si>
    <t>3_6</t>
    <phoneticPr fontId="3" type="noConversion"/>
  </si>
  <si>
    <t>AAS1000001819</t>
  </si>
  <si>
    <t>BEARING 110+OIL SEAL 117+X-RING; 116; 650~4500 TON</t>
    <phoneticPr fontId="3" type="noConversion"/>
  </si>
  <si>
    <t>2_5</t>
    <phoneticPr fontId="3" type="noConversion"/>
  </si>
  <si>
    <t>AA03340000975</t>
  </si>
  <si>
    <t>YOOWON; GASKET; 308-2; 250~4500 TON; 50 micron; A/S PART; FILTER; ELEMENT</t>
    <phoneticPr fontId="3" type="noConversion"/>
  </si>
  <si>
    <t>AA03340000977</t>
  </si>
  <si>
    <t>YOOWON; O-RING; 308-3; 250~4500 TON; 50 micron; A/S PART; FILTER; ELEMENT</t>
    <phoneticPr fontId="3" type="noConversion"/>
  </si>
  <si>
    <t>JRS62-100A (600V, 100A);FUSE, 신형 정류기(65kg)</t>
    <phoneticPr fontId="3" type="noConversion"/>
  </si>
  <si>
    <t>3_8</t>
    <phoneticPr fontId="3" type="noConversion"/>
  </si>
  <si>
    <t>AAS1000000739/AAS1000000735</t>
  </si>
  <si>
    <t>[재고 소진용] PSTEK; SMPS; IGBT(DDI); CENTER; KBL02942; v.3; A/S PART; ELE; REC</t>
    <phoneticPr fontId="3" type="noConversion"/>
  </si>
  <si>
    <t>3_8</t>
  </si>
  <si>
    <t>AAS1000000730/ AAS1000000736</t>
  </si>
  <si>
    <t>[재고 소진용] PSTEK; SMPS; IGBT(DDI); SIDE; KBL02942; v.3; A/S PART; ELE; REC</t>
    <phoneticPr fontId="3" type="noConversion"/>
  </si>
  <si>
    <t>3_7</t>
    <phoneticPr fontId="3" type="noConversion"/>
  </si>
  <si>
    <t xml:space="preserve">AAS1000000738 </t>
  </si>
  <si>
    <t>PSTEK; SMPS; MOSFET(DD); SIDE; KBL02941; A/S PART; ELE; REC;</t>
    <phoneticPr fontId="3" type="noConversion"/>
  </si>
  <si>
    <t>1_10</t>
    <phoneticPr fontId="3" type="noConversion"/>
  </si>
  <si>
    <t>AAS1000001384</t>
  </si>
  <si>
    <t>TECHWIN; DEMISTER; NEW; 1000~8000 TON; A/S PART; ELE; CY</t>
    <phoneticPr fontId="3" type="noConversion"/>
  </si>
  <si>
    <t>AA03340000763</t>
  </si>
  <si>
    <t>H2 GAS</t>
    <phoneticPr fontId="3" type="noConversion"/>
  </si>
  <si>
    <t>AA03340000764</t>
  </si>
  <si>
    <t>H2_Calibration tool</t>
    <phoneticPr fontId="3" type="noConversion"/>
  </si>
  <si>
    <t>13_3</t>
    <phoneticPr fontId="3" type="noConversion"/>
  </si>
  <si>
    <t>AA03340000134</t>
  </si>
  <si>
    <t>Media converter(RG58-RJ45)</t>
    <phoneticPr fontId="3" type="noConversion"/>
  </si>
  <si>
    <t>13_5</t>
    <phoneticPr fontId="3" type="noConversion"/>
  </si>
  <si>
    <t>BGA0140700033</t>
  </si>
  <si>
    <t>JSW300-24;AC-DC CONVERTOR;LAMBDA;SRPS-2000A</t>
    <phoneticPr fontId="3" type="noConversion"/>
  </si>
  <si>
    <t>13_4</t>
    <phoneticPr fontId="3" type="noConversion"/>
  </si>
  <si>
    <t>BGA0140700016</t>
  </si>
  <si>
    <t>SRPS-DDC501-12;DC/DC 24-12 BOARD;50W;VDR-N</t>
    <phoneticPr fontId="3" type="noConversion"/>
  </si>
  <si>
    <t>AA03183600391</t>
  </si>
  <si>
    <t>WABS, SVDR-N,2.0, WABS20A</t>
    <phoneticPr fontId="3" type="noConversion"/>
  </si>
  <si>
    <t>2_7</t>
    <phoneticPr fontId="3" type="noConversion"/>
  </si>
  <si>
    <t>AAS1000000737</t>
  </si>
  <si>
    <t>PSTEK; SMPS; MOSFET(DD); CENTER; KBL02941; A/S PART; ELE; REC;</t>
    <phoneticPr fontId="3" type="noConversion"/>
  </si>
  <si>
    <t>AAS1000000059</t>
  </si>
  <si>
    <t>FRM_Jaw coupling/ JAW COUPLIING;103; 650~4500 TON</t>
    <phoneticPr fontId="3" type="noConversion"/>
  </si>
  <si>
    <t>2_10</t>
    <phoneticPr fontId="3" type="noConversion"/>
  </si>
  <si>
    <t>BF03030000335/AAS1000000059</t>
  </si>
  <si>
    <t>FRM_Jaw coupling spider/ COUPLING SPIDER; YELLOW ELASTOMER PART; 650~4500 TON</t>
    <phoneticPr fontId="3" type="noConversion"/>
  </si>
  <si>
    <t>3_10</t>
    <phoneticPr fontId="3" type="noConversion"/>
  </si>
  <si>
    <t>AA03340000939/ AAS1000001986</t>
  </si>
  <si>
    <t>Reagent Pump; 24955S</t>
    <phoneticPr fontId="3" type="noConversion"/>
  </si>
  <si>
    <t>12_3</t>
    <phoneticPr fontId="3" type="noConversion"/>
  </si>
  <si>
    <t>BG17000000006</t>
  </si>
  <si>
    <t>SMSDI-48 (SSAS-MASTER S)</t>
    <phoneticPr fontId="3" type="noConversion"/>
  </si>
  <si>
    <t>BG33001300005</t>
  </si>
  <si>
    <t>SPBUS 1.2M MALE</t>
    <phoneticPr fontId="3" type="noConversion"/>
  </si>
  <si>
    <t>BG15000900007</t>
    <phoneticPr fontId="3" type="noConversion"/>
  </si>
  <si>
    <t>HWS150A-24 / 개당 10만원</t>
    <phoneticPr fontId="3" type="noConversion"/>
  </si>
  <si>
    <t>AA03340000915</t>
  </si>
  <si>
    <t>TRO_Electric pump ; ELECTRIC PUMP KOTEC R1305</t>
    <phoneticPr fontId="3" type="noConversion"/>
  </si>
  <si>
    <t>AA03340000307</t>
  </si>
  <si>
    <t>3 세대 CPU 보드 FS-97GTXG2</t>
    <phoneticPr fontId="3" type="noConversion"/>
  </si>
  <si>
    <t>AA03340001110/AAS1000001987</t>
  </si>
  <si>
    <t>[재고 소진용] DONGMOON; COOLING CHAMBER POWER SUPPLY; 28360; A/S PART; TRO;</t>
    <phoneticPr fontId="3" type="noConversion"/>
  </si>
  <si>
    <t>-</t>
    <phoneticPr fontId="3" type="noConversion"/>
  </si>
  <si>
    <t>JUNCTION BOX, JB-HSS</t>
    <phoneticPr fontId="3" type="noConversion"/>
  </si>
  <si>
    <t>CC01001000011</t>
  </si>
  <si>
    <t>HVR04-400-32;FIXED;32GB;DC 24V</t>
    <phoneticPr fontId="3" type="noConversion"/>
  </si>
  <si>
    <t>3_4</t>
    <phoneticPr fontId="3" type="noConversion"/>
  </si>
  <si>
    <t>Scanjet macron; Insulation resistance monitor; SJ-22R5 (AC220V); DEEsys; DCGN-1396;</t>
    <phoneticPr fontId="3" type="noConversion"/>
  </si>
  <si>
    <t>MOP-3; MOTOR OPERATOR,MOP3,AC230V/DC220V</t>
    <phoneticPr fontId="3" type="noConversion"/>
  </si>
  <si>
    <t>GPM500 1set 구성 / 1 x BAT 505 Operation panel, 1 x BAT 505 connection cable, 1 x NEG 510/501 module, 1 x ZKG 501 module, 1 x GOV 500 module,
3 x DIO 500 module, 1 x SLE 501 module, 1 x TRV 501 module, 1 x TRV 504 module</t>
    <phoneticPr fontId="3" type="noConversion"/>
  </si>
  <si>
    <t>ABCD/ WW NEG50510/501 MODULE은 사용</t>
    <phoneticPr fontId="3" type="noConversion"/>
  </si>
  <si>
    <t xml:space="preserve">WW / Telegraph Belt Set </t>
  </si>
  <si>
    <t>ABCD/ WW</t>
  </si>
  <si>
    <t>G815001M13</t>
  </si>
  <si>
    <t>WW / M12 Pickup Sensor</t>
  </si>
  <si>
    <t>WW / M18 Pickup Sensor</t>
  </si>
  <si>
    <t>WW / LX-350 Printer</t>
  </si>
  <si>
    <t>반룡1</t>
    <phoneticPr fontId="3" type="noConversion"/>
  </si>
  <si>
    <t>WW / SUB-D Adapter Cable for BAT501</t>
  </si>
  <si>
    <t>WW / Door Handle</t>
  </si>
  <si>
    <t>81000505005(810.005.050-05)</t>
  </si>
  <si>
    <t>WW(Platinum) / BI.40</t>
  </si>
  <si>
    <t>81000503005(810.005.030-05)</t>
  </si>
  <si>
    <t>WW(Platinum) / CI.20-ISO</t>
  </si>
  <si>
    <t>ABCD/ WW ABCD/ WW</t>
  </si>
  <si>
    <t>81000783004(810.0007.830-04)</t>
  </si>
  <si>
    <t>WW(Platinum) / DPU-2020 (DPU 2020)</t>
  </si>
  <si>
    <t>81000755004(810.007.550-04)</t>
  </si>
  <si>
    <t>WW(Platinum) / RO.20-CO</t>
  </si>
  <si>
    <t>81000757003(810.007.570-03)</t>
  </si>
  <si>
    <t>WW(Platinum) / CIO.20-ISO</t>
  </si>
  <si>
    <t>814008101/XAAB091833 E&amp;A_79167-</t>
  </si>
  <si>
    <t>WW(Platinum) / G6 Workstation /PC BOX CELERON SSD64 WES LPT R4230AVC</t>
  </si>
  <si>
    <t>ABCD/ WW PC</t>
  </si>
  <si>
    <t>93-1</t>
    <phoneticPr fontId="3" type="noConversion"/>
  </si>
  <si>
    <t>WW(Platinum) /SAM SONOVE PC</t>
  </si>
  <si>
    <t>93-2</t>
    <phoneticPr fontId="3" type="noConversion"/>
  </si>
  <si>
    <t>sonove PC</t>
    <phoneticPr fontId="3" type="noConversion"/>
  </si>
  <si>
    <t>-</t>
  </si>
  <si>
    <t>WW(Platinum) / Mariner kit</t>
  </si>
  <si>
    <t>MGP10034</t>
  </si>
  <si>
    <t>Meanwell Power supply(100-24) BRACKET 2개씩 함께 출고 필요. SMPS / MEANWELL (LRS-100-24), 구매처:리더파워 /민웰</t>
    <phoneticPr fontId="3" type="noConversion"/>
  </si>
  <si>
    <t>MEANWELL/민웰</t>
    <phoneticPr fontId="3" type="noConversion"/>
  </si>
  <si>
    <t>MGP15034</t>
  </si>
  <si>
    <t>Meanwell Power supply(150-24) BRACKET 2개씩 함께 출고 필요. SMPS / MEANWELL (LRS-150-24)구매처:리더파워/민웰</t>
    <phoneticPr fontId="3" type="noConversion"/>
  </si>
  <si>
    <t>SOP-01</t>
    <phoneticPr fontId="3" type="noConversion"/>
  </si>
  <si>
    <t>Order printer SOP-1</t>
    <phoneticPr fontId="3" type="noConversion"/>
  </si>
  <si>
    <t>AAS1000001818</t>
  </si>
  <si>
    <t>Oil Seal Set; 110,116,117; 125~500TON; A/S PART; FILTER; FRM</t>
    <phoneticPr fontId="3" type="noConversion"/>
  </si>
  <si>
    <t>BG15000300007</t>
  </si>
  <si>
    <t>MCP_UPS battery/PHOENIX; UPS BATTERY; PH-UPSBAT; VRLA; 24DC; 13.AH; DIN RAIL</t>
    <phoneticPr fontId="3" type="noConversion"/>
  </si>
  <si>
    <t>3_2</t>
    <phoneticPr fontId="3" type="noConversion"/>
  </si>
  <si>
    <t>AAS1000001673</t>
  </si>
  <si>
    <t>ELE_Demister filter / TECHWIN; DEMISTER FILTER; WITH ORING; ONE SIZE; A/S PARET; FILTER/</t>
    <phoneticPr fontId="3" type="noConversion"/>
  </si>
  <si>
    <t>BG17000000038</t>
  </si>
  <si>
    <t>SMSRSPC-X32; PROCESS CONTROL; REDUNDANT SYS; 32IT</t>
    <phoneticPr fontId="3" type="noConversion"/>
  </si>
  <si>
    <t>2개 핀불량/ 3개 모두 판매 불가</t>
    <phoneticPr fontId="3" type="noConversion"/>
  </si>
  <si>
    <t>AA03181600003</t>
  </si>
  <si>
    <t xml:space="preserve">TERMINAL BOARD/T/B FOR AI CARD </t>
  </si>
  <si>
    <t>BG30000400004</t>
  </si>
  <si>
    <t>SERIAL CONVERTER; TCC-80 V2.2;RS232 TO RS485/422</t>
  </si>
  <si>
    <t>3_3</t>
    <phoneticPr fontId="3" type="noConversion"/>
  </si>
  <si>
    <t>AAS1000001680</t>
  </si>
  <si>
    <t>MCP_EHS module/PLEIGER; EHS MODULE; CM4-D; ALL TYPE; CARDBOARD BOX PACKING BASED ON EXW PLEIGER FACTORY; MCP</t>
    <phoneticPr fontId="3" type="noConversion"/>
  </si>
  <si>
    <t>BF13000400001</t>
  </si>
  <si>
    <t>MCP_EHS module/PLEIGER; EHS MODULE; BI; DC24</t>
    <phoneticPr fontId="3" type="noConversion"/>
  </si>
  <si>
    <t>REC_Control board/CONTROL BOARD; IGBT(DDI);
KBL02583 REC</t>
    <phoneticPr fontId="3" type="noConversion"/>
  </si>
  <si>
    <t>AAS1000001388</t>
  </si>
  <si>
    <t>CONTROL BOARD; MOSFET(DD); KBL00484; S/W V5.03; A/S PART; ELE; REC</t>
    <phoneticPr fontId="3" type="noConversion"/>
  </si>
  <si>
    <t>AAS1000001754</t>
  </si>
  <si>
    <t>TRO_Solenoid valve/ PARKER; SOLENOID VALVE; 2-WAY; Ф6; 121VVG2NV00-495905C2; A/S PART; TRO; TIM,TDT,TDP</t>
    <phoneticPr fontId="3" type="noConversion"/>
  </si>
  <si>
    <t>BK03030000011</t>
  </si>
  <si>
    <t>BNWAS ALRAM UNIT/ SBWAS-BUZZER (KH-403CD)_명판</t>
    <phoneticPr fontId="3" type="noConversion"/>
  </si>
  <si>
    <t>111-1</t>
    <phoneticPr fontId="3" type="noConversion"/>
  </si>
  <si>
    <t>KH-403BD S-34</t>
  </si>
  <si>
    <t>KOINO BUZZER(황토색) KH-403CD S-24</t>
    <phoneticPr fontId="3" type="noConversion"/>
  </si>
  <si>
    <t>AAS1000000107</t>
  </si>
  <si>
    <t>SOLENOID VALVE; 403-6; EX; KS534S_3DEXT4; DC24V; A/S PART; FILTER;</t>
    <phoneticPr fontId="3" type="noConversion"/>
  </si>
  <si>
    <t>AAS1000001659</t>
  </si>
  <si>
    <t xml:space="preserve">FILTER_Pressure transmitter adapter/DACOS; PRESSURE 
TRANSMITTER ADAPTER; G 1/4"; FOR P40M;" </t>
    <phoneticPr fontId="3" type="noConversion"/>
  </si>
  <si>
    <t>AA03340000587</t>
  </si>
  <si>
    <t>PDP_Magnetic contactor/SCHNEIDER; MAGNETIC CONTACTOR; LC1D186R7S; 7.5kW; 440V; PDP</t>
    <phoneticPr fontId="3" type="noConversion"/>
  </si>
  <si>
    <t>19RTLE</t>
  </si>
  <si>
    <t>19RTLE (19inch Console Type)(LLL구매)</t>
  </si>
  <si>
    <t>12/08 교환 1EA</t>
    <phoneticPr fontId="3" type="noConversion"/>
  </si>
  <si>
    <t>33RTLE</t>
  </si>
  <si>
    <t>23RTLE (23inch Console Type)(LLL구매)</t>
  </si>
  <si>
    <t>34RTLE</t>
  </si>
  <si>
    <t>24" CONSOLE MONITOR (LLL구매)</t>
  </si>
  <si>
    <t>LLL 모니터</t>
  </si>
  <si>
    <t>37RTLE</t>
  </si>
  <si>
    <t>27 INCH; CONSOLE TYPE MONITOR</t>
  </si>
  <si>
    <t>QUINT-PS/1AC/24DC/5(120W); 120W;DC24V /2866750</t>
  </si>
  <si>
    <t>프라임일렉</t>
    <phoneticPr fontId="3" type="noConversion"/>
  </si>
  <si>
    <t>QUINT-PS/1AC/24DC/10</t>
  </si>
  <si>
    <t>QUINT-PS/1AC/24DC/3.5</t>
  </si>
  <si>
    <t>814008101/XAAB091833 E&amp;A_79167</t>
  </si>
  <si>
    <t>PC BOX CELERON SSD64 WES LPT R4230AVC</t>
    <phoneticPr fontId="3" type="noConversion"/>
  </si>
  <si>
    <t xml:space="preserve">P.C BOARD TAM401 </t>
  </si>
  <si>
    <t>LCD Display 4줄</t>
  </si>
  <si>
    <t>LCD Display 2줄</t>
  </si>
  <si>
    <t>Knick P27000H1</t>
    <phoneticPr fontId="3" type="noConversion"/>
  </si>
  <si>
    <t>Knick P15000H1</t>
    <phoneticPr fontId="3" type="noConversion"/>
  </si>
  <si>
    <t>DT1500 (Knick P15000H1 대체품)</t>
    <phoneticPr fontId="3" type="noConversion"/>
  </si>
  <si>
    <t>ZKG501</t>
    <phoneticPr fontId="3" type="noConversion"/>
  </si>
  <si>
    <t>TRV504</t>
    <phoneticPr fontId="3" type="noConversion"/>
  </si>
  <si>
    <t>TRV501</t>
    <phoneticPr fontId="3" type="noConversion"/>
  </si>
  <si>
    <t>TELEGRAPH BUZZER</t>
    <phoneticPr fontId="3" type="noConversion"/>
  </si>
  <si>
    <t>RPM indicator (XL96, 120-0-120/ AHEAD RIGHT)</t>
    <phoneticPr fontId="3" type="noConversion"/>
  </si>
  <si>
    <t>RPM indicator (DLQ 144, 120-0-120/ AHEAD RIGHT)</t>
    <phoneticPr fontId="3" type="noConversion"/>
  </si>
  <si>
    <t>MPA (XL96, MPA 0-4)</t>
    <phoneticPr fontId="3" type="noConversion"/>
  </si>
  <si>
    <t>MPA (XL144, MPA 0-4)</t>
    <phoneticPr fontId="3" type="noConversion"/>
  </si>
  <si>
    <t>RPM indicator (DLQ 144, 120-0-120/ AHEAD LEFT)/ BRW-2</t>
    <phoneticPr fontId="3" type="noConversion"/>
  </si>
  <si>
    <t>ZM411</t>
    <phoneticPr fontId="3" type="noConversion"/>
  </si>
  <si>
    <t>ABCD/ WW  대표님 12/08 1EA반납</t>
    <phoneticPr fontId="3" type="noConversion"/>
  </si>
  <si>
    <t>MXM401</t>
    <phoneticPr fontId="3" type="noConversion"/>
  </si>
  <si>
    <t>DEIF HAS-111DG</t>
    <phoneticPr fontId="3" type="noConversion"/>
  </si>
  <si>
    <t>SIM401</t>
    <phoneticPr fontId="3" type="noConversion"/>
  </si>
  <si>
    <t>DEM401</t>
  </si>
  <si>
    <t>ABCD/ WW1개는 작동확인안됨 , 1개는 S1642 전용 미점등</t>
  </si>
  <si>
    <t>371130433/963004800</t>
  </si>
  <si>
    <t>DRM401</t>
    <phoneticPr fontId="3" type="noConversion"/>
  </si>
  <si>
    <t>ABCD/ WW 1개는 RECONDITIONAL/  대표님 12/08 1EA반납</t>
    <phoneticPr fontId="3" type="noConversion"/>
  </si>
  <si>
    <t>REM401</t>
    <phoneticPr fontId="3" type="noConversion"/>
  </si>
  <si>
    <t>BI40-SUP-E(Wartsila new module)</t>
    <phoneticPr fontId="3" type="noConversion"/>
  </si>
  <si>
    <t>RO20-CO(Wartsila new module)</t>
    <phoneticPr fontId="3" type="noConversion"/>
  </si>
  <si>
    <t>CIO20-ISO(Wartsila new module)</t>
  </si>
  <si>
    <t>CI20-ISO(Wartsila new module)</t>
  </si>
  <si>
    <t>DPU2020</t>
    <phoneticPr fontId="3" type="noConversion"/>
  </si>
  <si>
    <t>DSN-PCI PC CARD SNB 502</t>
    <phoneticPr fontId="3" type="noConversion"/>
  </si>
  <si>
    <t>L3MS-PT24-3W-E (ANALOG INPUT MS-PT.24-3W-E:PT100)</t>
    <phoneticPr fontId="3" type="noConversion"/>
  </si>
  <si>
    <t>L3MS-PF-C1(POWER FILTER PF.C1)</t>
    <phoneticPr fontId="3" type="noConversion"/>
  </si>
  <si>
    <t>L3MS-CI.20-ISO(ANALOG INPUT MS-CI.20-ISO:CURRENT)</t>
    <phoneticPr fontId="3" type="noConversion"/>
  </si>
  <si>
    <t>AOM2200 /ANALOG OUTPUT MODULE AOM 2200</t>
    <phoneticPr fontId="3" type="noConversion"/>
  </si>
  <si>
    <t>BRM2200/BINARY RELAY MODULE BRM 2200</t>
    <phoneticPr fontId="3" type="noConversion"/>
  </si>
  <si>
    <t>BXM2200/BINARY INPUT/OUTPUT MODULE BXM 2200</t>
    <phoneticPr fontId="3" type="noConversion"/>
  </si>
  <si>
    <t>BIM2200/BINARY INPUT MODULE BIM 2200</t>
    <phoneticPr fontId="3" type="noConversion"/>
  </si>
  <si>
    <t>EMP2200-M (ENGINE MANOEUVRING PANEL EMP 2200-M)</t>
    <phoneticPr fontId="3" type="noConversion"/>
  </si>
  <si>
    <t>DPU2010(P.C. BOARD DPU 2010)</t>
    <phoneticPr fontId="3" type="noConversion"/>
  </si>
  <si>
    <t>SIO 2010(P.C. BOARD SIO 2010)</t>
    <phoneticPr fontId="3" type="noConversion"/>
  </si>
  <si>
    <t>IFM402</t>
    <phoneticPr fontId="3" type="noConversion"/>
  </si>
  <si>
    <t>IOM402(P.C. BOARD IOM402)</t>
    <phoneticPr fontId="3" type="noConversion"/>
  </si>
  <si>
    <t>MXM402 (P.C. BOARD MXM402)</t>
    <phoneticPr fontId="3" type="noConversion"/>
  </si>
  <si>
    <t>ABCD/ WW FR 알렌</t>
  </si>
  <si>
    <t>DRM401(P.C. BOARD DRM401)</t>
    <phoneticPr fontId="3" type="noConversion"/>
  </si>
  <si>
    <t>ENGINE PROTECTION PANEL EPP 2200-M</t>
    <phoneticPr fontId="3" type="noConversion"/>
  </si>
  <si>
    <t>4_5</t>
    <phoneticPr fontId="3" type="noConversion"/>
  </si>
  <si>
    <t>AA03340003793</t>
  </si>
  <si>
    <t>REC_Fuse/FUSE; JRS63-120A, 600V REC</t>
    <phoneticPr fontId="3" type="noConversion"/>
  </si>
  <si>
    <t>AAS1000000351</t>
  </si>
  <si>
    <t>NPU_BLDC M/C unit/CHEONSEI; BLDC M/C UNIT; KDVA; 0.25KW; ANALOG 4-20m</t>
    <phoneticPr fontId="3" type="noConversion"/>
  </si>
  <si>
    <t>WAS5 CCLP 0-20/0-20MA (8463580000)</t>
    <phoneticPr fontId="3" type="noConversion"/>
  </si>
  <si>
    <t>PFM2200</t>
    <phoneticPr fontId="3" type="noConversion"/>
  </si>
  <si>
    <t>TAS-331D</t>
    <phoneticPr fontId="3" type="noConversion"/>
  </si>
  <si>
    <t>BSM 2200</t>
    <phoneticPr fontId="3" type="noConversion"/>
  </si>
  <si>
    <t>EDS-408A-MM-SC(SAM)</t>
    <phoneticPr fontId="3" type="noConversion"/>
  </si>
  <si>
    <t>ABCD/ WW</t>
    <phoneticPr fontId="3" type="noConversion"/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</si>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</sst>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37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2"/>
      <charset val="129"/>
      <scheme val="minor"/>
    </font>
    <font>
      <b/>
      <sz val="9"/>
      <color rgb="FFFF0000"/>
      <name val="Calibri"/>
      <family val="2"/>
    </font>
    <font>
      <sz val="15"/>
      <color theme="1"/>
      <name val="맑은 고딕"/>
      <family val="3"/>
      <charset val="129"/>
      <scheme val="minor"/>
    </font>
    <font>
      <sz val="22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5"/>
      <color rgb="FFC0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22"/>
      <color rgb="FFC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</font>
    <font>
      <sz val="15"/>
      <color theme="1"/>
      <name val="맑은 고딕"/>
      <family val="3"/>
      <charset val="129"/>
    </font>
    <font>
      <sz val="15"/>
      <name val="맑은 고딕"/>
      <family val="3"/>
      <charset val="129"/>
      <scheme val="minor"/>
    </font>
    <font>
      <sz val="15"/>
      <name val="맑은 고딕"/>
      <family val="3"/>
      <charset val="129"/>
    </font>
    <font>
      <sz val="20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trike/>
      <sz val="15"/>
      <color theme="1"/>
      <name val="맑은 고딕"/>
      <family val="3"/>
      <charset val="129"/>
    </font>
    <font>
      <strike/>
      <sz val="20"/>
      <color theme="1"/>
      <name val="맑은 고딕"/>
      <family val="3"/>
      <charset val="129"/>
      <scheme val="minor"/>
    </font>
    <font>
      <b/>
      <strike/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5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u/>
      <sz val="15"/>
      <name val="맑은 고딕"/>
      <family val="3"/>
      <charset val="129"/>
    </font>
    <font>
      <b/>
      <u/>
      <sz val="16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2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</font>
    <font>
      <b/>
      <sz val="13"/>
      <color theme="1"/>
      <name val="맑은 고딕"/>
      <family val="2"/>
      <charset val="129"/>
      <scheme val="minor"/>
    </font>
    <font>
      <sz val="15"/>
      <color theme="1"/>
      <name val="맑은 고딕"/>
      <family val="2"/>
      <charset val="129"/>
    </font>
    <font>
      <sz val="9"/>
      <color theme="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8">
    <xf numFmtId="0" fontId="0" fillId="0" borderId="0" xfId="0">
      <alignment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vertical="center" wrapText="1"/>
    </xf>
    <xf numFmtId="0" fontId="6" fillId="0" borderId="0" xfId="1" applyFont="1">
      <alignment vertical="center"/>
    </xf>
    <xf numFmtId="0" fontId="4" fillId="0" borderId="1" xfId="1" applyFont="1" applyBorder="1" applyAlignment="1">
      <alignment vertical="center" wrapText="1"/>
    </xf>
    <xf numFmtId="0" fontId="8" fillId="0" borderId="0" xfId="1" applyFont="1">
      <alignment vertical="center"/>
    </xf>
    <xf numFmtId="0" fontId="9" fillId="2" borderId="0" xfId="1" applyFont="1" applyFill="1">
      <alignment vertical="center"/>
    </xf>
    <xf numFmtId="0" fontId="5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center" vertical="center"/>
    </xf>
    <xf numFmtId="49" fontId="12" fillId="2" borderId="2" xfId="1" applyNumberFormat="1" applyFont="1" applyFill="1" applyBorder="1" applyAlignment="1">
      <alignment horizontal="center" vertical="center"/>
    </xf>
    <xf numFmtId="49" fontId="13" fillId="0" borderId="2" xfId="1" applyNumberFormat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2" fillId="2" borderId="0" xfId="1" applyFont="1" applyFill="1">
      <alignment vertical="center"/>
    </xf>
    <xf numFmtId="49" fontId="14" fillId="3" borderId="1" xfId="1" applyNumberFormat="1" applyFont="1" applyFill="1" applyBorder="1" applyAlignment="1">
      <alignment horizontal="center" vertical="center"/>
    </xf>
    <xf numFmtId="49" fontId="15" fillId="3" borderId="1" xfId="1" applyNumberFormat="1" applyFont="1" applyFill="1" applyBorder="1" applyAlignment="1">
      <alignment horizontal="center" vertical="center"/>
    </xf>
    <xf numFmtId="0" fontId="9" fillId="2" borderId="1" xfId="1" applyFont="1" applyFill="1" applyBorder="1">
      <alignment vertical="center"/>
    </xf>
    <xf numFmtId="0" fontId="8" fillId="3" borderId="6" xfId="1" applyFont="1" applyFill="1" applyBorder="1" applyAlignment="1">
      <alignment horizontal="left" vertical="center" wrapText="1"/>
    </xf>
    <xf numFmtId="0" fontId="8" fillId="3" borderId="6" xfId="1" applyFont="1" applyFill="1" applyBorder="1" applyAlignment="1">
      <alignment horizontal="left" vertical="center"/>
    </xf>
    <xf numFmtId="0" fontId="13" fillId="3" borderId="6" xfId="1" applyFont="1" applyFill="1" applyBorder="1" applyAlignment="1">
      <alignment horizontal="center" vertical="center"/>
    </xf>
    <xf numFmtId="0" fontId="11" fillId="3" borderId="6" xfId="1" applyFont="1" applyFill="1" applyBorder="1" applyAlignment="1">
      <alignment horizontal="center" vertical="center"/>
    </xf>
    <xf numFmtId="49" fontId="14" fillId="2" borderId="1" xfId="1" applyNumberFormat="1" applyFont="1" applyFill="1" applyBorder="1" applyAlignment="1">
      <alignment horizontal="center" vertical="center"/>
    </xf>
    <xf numFmtId="49" fontId="15" fillId="2" borderId="1" xfId="1" applyNumberFormat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left" vertical="center" wrapText="1"/>
    </xf>
    <xf numFmtId="0" fontId="8" fillId="2" borderId="6" xfId="1" applyFont="1" applyFill="1" applyBorder="1" applyAlignment="1">
      <alignment horizontal="left" vertical="center"/>
    </xf>
    <xf numFmtId="0" fontId="13" fillId="2" borderId="6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49" fontId="14" fillId="2" borderId="6" xfId="1" applyNumberFormat="1" applyFont="1" applyFill="1" applyBorder="1" applyAlignment="1">
      <alignment horizontal="center" vertical="center"/>
    </xf>
    <xf numFmtId="49" fontId="15" fillId="2" borderId="7" xfId="1" applyNumberFormat="1" applyFont="1" applyFill="1" applyBorder="1" applyAlignment="1">
      <alignment horizontal="center" vertical="center"/>
    </xf>
    <xf numFmtId="49" fontId="15" fillId="2" borderId="8" xfId="1" applyNumberFormat="1" applyFont="1" applyFill="1" applyBorder="1" applyAlignment="1">
      <alignment horizontal="center" vertical="center"/>
    </xf>
    <xf numFmtId="0" fontId="16" fillId="2" borderId="1" xfId="1" applyFont="1" applyFill="1" applyBorder="1">
      <alignment vertical="center"/>
    </xf>
    <xf numFmtId="0" fontId="17" fillId="2" borderId="1" xfId="1" applyFont="1" applyFill="1" applyBorder="1" applyAlignment="1">
      <alignment vertical="center" wrapText="1"/>
    </xf>
    <xf numFmtId="0" fontId="17" fillId="2" borderId="1" xfId="1" applyFont="1" applyFill="1" applyBorder="1" applyAlignment="1">
      <alignment horizontal="left" vertical="center"/>
    </xf>
    <xf numFmtId="49" fontId="15" fillId="3" borderId="8" xfId="1" applyNumberFormat="1" applyFont="1" applyFill="1" applyBorder="1" applyAlignment="1">
      <alignment horizontal="center" vertical="center"/>
    </xf>
    <xf numFmtId="0" fontId="17" fillId="3" borderId="1" xfId="1" applyFont="1" applyFill="1" applyBorder="1" applyAlignment="1">
      <alignment vertical="center" wrapText="1"/>
    </xf>
    <xf numFmtId="0" fontId="17" fillId="3" borderId="1" xfId="1" applyFont="1" applyFill="1" applyBorder="1" applyAlignment="1">
      <alignment horizontal="left" vertical="center"/>
    </xf>
    <xf numFmtId="0" fontId="13" fillId="3" borderId="1" xfId="1" applyFont="1" applyFill="1" applyBorder="1" applyAlignment="1">
      <alignment horizontal="center" vertical="center"/>
    </xf>
    <xf numFmtId="17" fontId="11" fillId="3" borderId="1" xfId="1" quotePrefix="1" applyNumberFormat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left" vertical="center" wrapText="1"/>
    </xf>
    <xf numFmtId="176" fontId="15" fillId="2" borderId="8" xfId="1" applyNumberFormat="1" applyFont="1" applyFill="1" applyBorder="1" applyAlignment="1">
      <alignment horizontal="center" vertical="center"/>
    </xf>
    <xf numFmtId="0" fontId="17" fillId="0" borderId="1" xfId="1" applyFont="1" applyBorder="1" applyAlignment="1">
      <alignment horizontal="left" vertical="center" wrapText="1"/>
    </xf>
    <xf numFmtId="0" fontId="17" fillId="0" borderId="1" xfId="1" applyFont="1" applyBorder="1" applyAlignment="1">
      <alignment horizontal="left" vertical="center"/>
    </xf>
    <xf numFmtId="177" fontId="13" fillId="0" borderId="1" xfId="1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8" fillId="2" borderId="1" xfId="1" applyFont="1" applyFill="1" applyBorder="1" applyAlignment="1">
      <alignment vertical="center" wrapText="1"/>
    </xf>
    <xf numFmtId="0" fontId="18" fillId="2" borderId="1" xfId="1" applyFont="1" applyFill="1" applyBorder="1" applyAlignment="1">
      <alignment horizontal="left" vertical="center"/>
    </xf>
    <xf numFmtId="0" fontId="13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9" fillId="0" borderId="1" xfId="1" applyFont="1" applyBorder="1" applyAlignment="1">
      <alignment horizontal="left" vertical="center" wrapText="1"/>
    </xf>
    <xf numFmtId="0" fontId="19" fillId="2" borderId="1" xfId="1" applyFont="1" applyFill="1" applyBorder="1" applyAlignment="1">
      <alignment horizontal="left" vertical="center" wrapText="1"/>
    </xf>
    <xf numFmtId="0" fontId="19" fillId="0" borderId="1" xfId="1" applyFont="1" applyBorder="1" applyAlignment="1">
      <alignment horizontal="left" vertical="center"/>
    </xf>
    <xf numFmtId="0" fontId="20" fillId="0" borderId="1" xfId="1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/>
    </xf>
    <xf numFmtId="0" fontId="22" fillId="0" borderId="1" xfId="1" applyFont="1" applyBorder="1" applyAlignment="1">
      <alignment horizontal="left" vertical="center" wrapText="1"/>
    </xf>
    <xf numFmtId="0" fontId="22" fillId="0" borderId="1" xfId="1" applyFont="1" applyBorder="1" applyAlignment="1">
      <alignment horizontal="left" vertical="center"/>
    </xf>
    <xf numFmtId="0" fontId="23" fillId="0" borderId="1" xfId="1" applyFont="1" applyBorder="1" applyAlignment="1">
      <alignment horizontal="center" vertical="center"/>
    </xf>
    <xf numFmtId="0" fontId="24" fillId="0" borderId="1" xfId="1" applyFont="1" applyBorder="1" applyAlignment="1">
      <alignment horizontal="center" vertical="center"/>
    </xf>
    <xf numFmtId="0" fontId="25" fillId="2" borderId="1" xfId="1" applyFont="1" applyFill="1" applyBorder="1" applyAlignment="1">
      <alignment horizontal="center" vertical="center"/>
    </xf>
    <xf numFmtId="0" fontId="26" fillId="2" borderId="1" xfId="1" applyFont="1" applyFill="1" applyBorder="1" applyAlignment="1">
      <alignment horizontal="center" vertical="center"/>
    </xf>
    <xf numFmtId="177" fontId="13" fillId="2" borderId="1" xfId="1" applyNumberFormat="1" applyFont="1" applyFill="1" applyBorder="1" applyAlignment="1">
      <alignment horizontal="center" vertical="center"/>
    </xf>
    <xf numFmtId="0" fontId="27" fillId="2" borderId="1" xfId="1" applyFont="1" applyFill="1" applyBorder="1" applyAlignment="1">
      <alignment horizontal="left" vertical="center" wrapText="1"/>
    </xf>
    <xf numFmtId="0" fontId="22" fillId="2" borderId="1" xfId="1" applyFont="1" applyFill="1" applyBorder="1" applyAlignment="1">
      <alignment horizontal="left" vertical="center" wrapText="1"/>
    </xf>
    <xf numFmtId="0" fontId="22" fillId="2" borderId="1" xfId="1" applyFont="1" applyFill="1" applyBorder="1" applyAlignment="1">
      <alignment horizontal="left" vertical="center"/>
    </xf>
    <xf numFmtId="0" fontId="23" fillId="2" borderId="1" xfId="1" applyFont="1" applyFill="1" applyBorder="1" applyAlignment="1">
      <alignment horizontal="center" vertical="center"/>
    </xf>
    <xf numFmtId="0" fontId="24" fillId="2" borderId="1" xfId="1" applyFont="1" applyFill="1" applyBorder="1" applyAlignment="1">
      <alignment horizontal="center" vertical="center"/>
    </xf>
    <xf numFmtId="0" fontId="28" fillId="2" borderId="1" xfId="1" applyFont="1" applyFill="1" applyBorder="1" applyAlignment="1">
      <alignment horizontal="center" vertical="center"/>
    </xf>
    <xf numFmtId="177" fontId="11" fillId="2" borderId="8" xfId="1" quotePrefix="1" applyNumberFormat="1" applyFont="1" applyFill="1" applyBorder="1" applyAlignment="1">
      <alignment horizontal="center" vertical="center"/>
    </xf>
    <xf numFmtId="0" fontId="17" fillId="2" borderId="1" xfId="1" quotePrefix="1" applyFont="1" applyFill="1" applyBorder="1" applyAlignment="1">
      <alignment horizontal="left" vertical="center"/>
    </xf>
    <xf numFmtId="0" fontId="16" fillId="2" borderId="1" xfId="1" applyFont="1" applyFill="1" applyBorder="1" applyAlignment="1">
      <alignment vertical="center" wrapText="1"/>
    </xf>
    <xf numFmtId="177" fontId="11" fillId="2" borderId="1" xfId="1" quotePrefix="1" applyNumberFormat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left" vertical="center" wrapText="1"/>
    </xf>
    <xf numFmtId="0" fontId="17" fillId="4" borderId="1" xfId="1" applyFont="1" applyFill="1" applyBorder="1" applyAlignment="1">
      <alignment vertical="center" wrapText="1"/>
    </xf>
    <xf numFmtId="0" fontId="21" fillId="2" borderId="1" xfId="1" applyFont="1" applyFill="1" applyBorder="1" applyAlignment="1">
      <alignment horizontal="center" vertical="center"/>
    </xf>
    <xf numFmtId="0" fontId="1" fillId="0" borderId="0" xfId="1">
      <alignment vertical="center"/>
    </xf>
    <xf numFmtId="14" fontId="29" fillId="5" borderId="9" xfId="1" applyNumberFormat="1" applyFont="1" applyFill="1" applyBorder="1" applyAlignment="1">
      <alignment horizontal="center" vertical="center"/>
    </xf>
    <xf numFmtId="14" fontId="30" fillId="5" borderId="10" xfId="1" applyNumberFormat="1" applyFont="1" applyFill="1" applyBorder="1" applyAlignment="1">
      <alignment horizontal="center" vertical="center"/>
    </xf>
    <xf numFmtId="177" fontId="30" fillId="6" borderId="9" xfId="1" applyNumberFormat="1" applyFont="1" applyFill="1" applyBorder="1" applyAlignment="1">
      <alignment horizontal="center" vertical="center"/>
    </xf>
    <xf numFmtId="177" fontId="30" fillId="5" borderId="9" xfId="1" applyNumberFormat="1" applyFont="1" applyFill="1" applyBorder="1" applyAlignment="1">
      <alignment horizontal="center" vertical="center"/>
    </xf>
    <xf numFmtId="0" fontId="30" fillId="5" borderId="9" xfId="1" applyFont="1" applyFill="1" applyBorder="1" applyAlignment="1">
      <alignment horizontal="center" vertical="center"/>
    </xf>
    <xf numFmtId="0" fontId="31" fillId="5" borderId="11" xfId="1" applyFont="1" applyFill="1" applyBorder="1" applyAlignment="1">
      <alignment horizontal="center" vertical="center"/>
    </xf>
    <xf numFmtId="0" fontId="31" fillId="5" borderId="9" xfId="1" applyFont="1" applyFill="1" applyBorder="1" applyAlignment="1">
      <alignment horizontal="center" vertical="center"/>
    </xf>
    <xf numFmtId="0" fontId="31" fillId="5" borderId="10" xfId="1" applyFont="1" applyFill="1" applyBorder="1" applyAlignment="1">
      <alignment horizontal="center" vertical="center"/>
    </xf>
    <xf numFmtId="0" fontId="31" fillId="5" borderId="1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4" xfId="0" applyBorder="1">
      <alignment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0" xfId="0" applyAlignment="1"/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9" borderId="18" xfId="0" applyFill="1" applyBorder="1" applyAlignment="1">
      <alignment horizontal="center" vertical="center"/>
    </xf>
    <xf numFmtId="0" fontId="32" fillId="3" borderId="20" xfId="0" applyFont="1" applyFill="1" applyBorder="1">
      <alignment vertical="center"/>
    </xf>
    <xf numFmtId="0" fontId="32" fillId="3" borderId="26" xfId="0" applyFont="1" applyFill="1" applyBorder="1">
      <alignment vertical="center"/>
    </xf>
    <xf numFmtId="0" fontId="32" fillId="3" borderId="21" xfId="0" applyFont="1" applyFill="1" applyBorder="1">
      <alignment vertical="center"/>
    </xf>
    <xf numFmtId="0" fontId="34" fillId="3" borderId="20" xfId="0" applyFont="1" applyFill="1" applyBorder="1">
      <alignment vertical="center"/>
    </xf>
    <xf numFmtId="0" fontId="34" fillId="3" borderId="26" xfId="0" applyFont="1" applyFill="1" applyBorder="1">
      <alignment vertical="center"/>
    </xf>
    <xf numFmtId="0" fontId="34" fillId="3" borderId="21" xfId="0" applyFont="1" applyFill="1" applyBorder="1">
      <alignment vertical="center"/>
    </xf>
    <xf numFmtId="0" fontId="2" fillId="9" borderId="1" xfId="1" applyFont="1" applyFill="1" applyBorder="1">
      <alignment vertical="center"/>
    </xf>
    <xf numFmtId="0" fontId="2" fillId="9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4" fontId="2" fillId="0" borderId="1" xfId="1" applyNumberFormat="1" applyFont="1" applyBorder="1" applyAlignment="1">
      <alignment horizontal="left" vertical="center"/>
    </xf>
    <xf numFmtId="0" fontId="35" fillId="2" borderId="1" xfId="1" applyFont="1" applyFill="1" applyBorder="1" applyAlignment="1">
      <alignment horizontal="left" vertical="center"/>
    </xf>
    <xf numFmtId="0" fontId="36" fillId="9" borderId="0" xfId="1" applyFont="1" applyFill="1">
      <alignment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3" fillId="0" borderId="5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2" xfId="0" applyBorder="1" applyAlignment="1">
      <alignment vertical="center"/>
    </xf>
  </cellXfs>
  <cellStyles count="2">
    <cellStyle name="Normal" xfId="0" builtinId="0"/>
    <cellStyle name="표준 2" xfId="1" xr:uid="{55B8E39E-E447-2E4A-BA9D-0DDDE454FE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0CA3-80C3-2240-9C1A-C7536324ECDA}">
  <dimension ref="B1:G20"/>
  <sheetViews>
    <sheetView tabSelected="1" workbookViewId="0">
      <selection activeCell="E13" sqref="E13"/>
    </sheetView>
  </sheetViews>
  <sheetFormatPr defaultColWidth="11.5546875" defaultRowHeight="18"/>
  <cols>
    <col min="2" max="2" width="12" customWidth="1"/>
    <col min="3" max="3" width="18.44140625" customWidth="1"/>
    <col min="4" max="4" width="19.88671875" customWidth="1"/>
    <col min="5" max="5" width="73" customWidth="1"/>
    <col min="7" max="7" width="20" customWidth="1"/>
  </cols>
  <sheetData>
    <row r="1" spans="2:7" ht="35.1" customHeight="1"/>
    <row r="2" spans="2:7" ht="33" customHeight="1" thickBot="1"/>
    <row r="3" spans="2:7" ht="51" customHeight="1" thickBot="1">
      <c r="B3" s="123" t="s">
        <v>0</v>
      </c>
      <c r="C3" s="124"/>
      <c r="D3" s="125"/>
      <c r="E3" s="97" t="s">
        <v>1</v>
      </c>
    </row>
    <row r="4" spans="2:7" ht="35.1" customHeight="1" thickBot="1"/>
    <row r="5" spans="2:7" ht="39.950000000000003" customHeight="1" thickBot="1">
      <c r="B5" s="105" t="s">
        <v>2</v>
      </c>
      <c r="C5" s="106" t="s">
        <v>3</v>
      </c>
      <c r="D5" s="106" t="s">
        <v>4</v>
      </c>
      <c r="E5" s="106" t="s">
        <v>5</v>
      </c>
      <c r="F5" s="106" t="s">
        <v>6</v>
      </c>
      <c r="G5" s="107" t="s">
        <v>7</v>
      </c>
    </row>
    <row r="6" spans="2:7" ht="50.1" customHeight="1">
      <c r="B6" s="126" t="s">
        <v>8</v>
      </c>
      <c r="C6" s="94" t="s">
        <v>9</v>
      </c>
      <c r="D6" s="94" t="s">
        <v>10</v>
      </c>
      <c r="E6" s="94"/>
      <c r="F6" s="118" t="s">
        <v>11</v>
      </c>
      <c r="G6" s="135"/>
    </row>
    <row r="7" spans="2:7" ht="50.1" customHeight="1">
      <c r="B7" s="127"/>
      <c r="C7" s="92" t="s">
        <v>12</v>
      </c>
      <c r="D7" s="92"/>
      <c r="E7" s="92"/>
      <c r="F7" s="118"/>
      <c r="G7" s="135"/>
    </row>
    <row r="8" spans="2:7" ht="50.1" customHeight="1">
      <c r="B8" s="127"/>
      <c r="C8" s="92" t="s">
        <v>13</v>
      </c>
      <c r="D8" s="92"/>
      <c r="E8" s="92"/>
      <c r="F8" s="119"/>
      <c r="G8" s="136"/>
    </row>
    <row r="9" spans="2:7" ht="50.1" customHeight="1">
      <c r="B9" s="127" t="s">
        <v>14</v>
      </c>
      <c r="C9" s="129" t="s">
        <v>15</v>
      </c>
      <c r="D9" s="92" t="s">
        <v>16</v>
      </c>
      <c r="E9" s="92" t="s">
        <v>17</v>
      </c>
      <c r="F9" s="120" t="s">
        <v>18</v>
      </c>
      <c r="G9" s="137" t="s">
        <v>19</v>
      </c>
    </row>
    <row r="10" spans="2:7" ht="50.1" customHeight="1">
      <c r="B10" s="127"/>
      <c r="C10" s="130"/>
      <c r="D10" s="92" t="s">
        <v>20</v>
      </c>
      <c r="E10" s="92"/>
      <c r="F10" s="121"/>
      <c r="G10" s="135"/>
    </row>
    <row r="11" spans="2:7" ht="50.1" customHeight="1">
      <c r="B11" s="127"/>
      <c r="C11" s="130"/>
      <c r="D11" s="92" t="s">
        <v>21</v>
      </c>
      <c r="E11" s="92"/>
      <c r="F11" s="121"/>
      <c r="G11" s="135"/>
    </row>
    <row r="12" spans="2:7" ht="50.1" customHeight="1">
      <c r="B12" s="127"/>
      <c r="C12" s="131"/>
      <c r="D12" s="92" t="s">
        <v>22</v>
      </c>
      <c r="E12" s="92" t="s">
        <v>23</v>
      </c>
      <c r="F12" s="122"/>
      <c r="G12" s="136"/>
    </row>
    <row r="13" spans="2:7" ht="50.1" customHeight="1">
      <c r="B13" s="127"/>
      <c r="C13" s="129" t="s">
        <v>24</v>
      </c>
      <c r="D13" s="92" t="s">
        <v>25</v>
      </c>
      <c r="E13" s="92" t="s">
        <v>17</v>
      </c>
      <c r="F13" s="120" t="s">
        <v>18</v>
      </c>
      <c r="G13" s="137"/>
    </row>
    <row r="14" spans="2:7" ht="50.1" customHeight="1">
      <c r="B14" s="127"/>
      <c r="C14" s="130"/>
      <c r="D14" s="92" t="s">
        <v>26</v>
      </c>
      <c r="E14" s="92"/>
      <c r="F14" s="121"/>
      <c r="G14" s="135"/>
    </row>
    <row r="15" spans="2:7" ht="50.1" customHeight="1">
      <c r="B15" s="127"/>
      <c r="C15" s="130"/>
      <c r="D15" s="92" t="s">
        <v>27</v>
      </c>
      <c r="E15" s="92"/>
      <c r="F15" s="121"/>
      <c r="G15" s="135"/>
    </row>
    <row r="16" spans="2:7" ht="50.1" customHeight="1">
      <c r="B16" s="127"/>
      <c r="C16" s="131"/>
      <c r="D16" s="92" t="s">
        <v>28</v>
      </c>
      <c r="E16" s="92" t="s">
        <v>29</v>
      </c>
      <c r="F16" s="122"/>
      <c r="G16" s="136"/>
    </row>
    <row r="17" spans="2:7" ht="50.1" customHeight="1">
      <c r="B17" s="127"/>
      <c r="C17" s="92" t="s">
        <v>30</v>
      </c>
      <c r="D17" s="92" t="s">
        <v>31</v>
      </c>
      <c r="E17" s="92" t="s">
        <v>32</v>
      </c>
      <c r="F17" s="95" t="s">
        <v>18</v>
      </c>
      <c r="G17" s="98" t="s">
        <v>33</v>
      </c>
    </row>
    <row r="18" spans="2:7" ht="50.1" customHeight="1">
      <c r="B18" s="127"/>
      <c r="C18" s="92" t="s">
        <v>34</v>
      </c>
      <c r="D18" s="92" t="s">
        <v>35</v>
      </c>
      <c r="E18" s="92" t="s">
        <v>36</v>
      </c>
      <c r="F18" s="96" t="s">
        <v>37</v>
      </c>
      <c r="G18" s="98"/>
    </row>
    <row r="19" spans="2:7" ht="92.1" customHeight="1">
      <c r="B19" s="127"/>
      <c r="C19" s="92" t="s">
        <v>38</v>
      </c>
      <c r="D19" s="92" t="s">
        <v>39</v>
      </c>
      <c r="E19" s="93" t="s">
        <v>40</v>
      </c>
      <c r="F19" s="96" t="s">
        <v>37</v>
      </c>
      <c r="G19" s="98"/>
    </row>
    <row r="20" spans="2:7" ht="50.1" customHeight="1" thickBot="1">
      <c r="B20" s="128"/>
      <c r="C20" s="99" t="s">
        <v>41</v>
      </c>
      <c r="D20" s="99" t="s">
        <v>42</v>
      </c>
      <c r="E20" s="99" t="s">
        <v>43</v>
      </c>
      <c r="F20" s="104" t="s">
        <v>37</v>
      </c>
      <c r="G20" s="100"/>
    </row>
  </sheetData>
  <mergeCells count="11">
    <mergeCell ref="B3:D3"/>
    <mergeCell ref="B6:B8"/>
    <mergeCell ref="B9:B20"/>
    <mergeCell ref="C9:C12"/>
    <mergeCell ref="C13:C16"/>
    <mergeCell ref="F6:F8"/>
    <mergeCell ref="F9:F12"/>
    <mergeCell ref="F13:F16"/>
    <mergeCell ref="G6:G8"/>
    <mergeCell ref="G9:G12"/>
    <mergeCell ref="G13:G16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0F30-D95A-8448-8931-67C63E46EF5B}">
  <dimension ref="B2:K15"/>
  <sheetViews>
    <sheetView workbookViewId="0">
      <selection activeCell="G10" sqref="G10"/>
    </sheetView>
  </sheetViews>
  <sheetFormatPr defaultColWidth="11.5546875" defaultRowHeight="18"/>
  <cols>
    <col min="2" max="2" width="14.44140625" customWidth="1"/>
    <col min="3" max="3" width="28.109375" customWidth="1"/>
    <col min="4" max="4" width="56.109375" customWidth="1"/>
    <col min="5" max="5" width="81.109375" customWidth="1"/>
    <col min="6" max="6" width="18.5546875" customWidth="1"/>
  </cols>
  <sheetData>
    <row r="2" spans="2:11" ht="18.95" thickBot="1"/>
    <row r="3" spans="2:11" ht="48.95" customHeight="1" thickBot="1">
      <c r="B3" s="123" t="s">
        <v>44</v>
      </c>
      <c r="C3" s="124"/>
      <c r="D3" s="125"/>
      <c r="E3" s="97" t="s">
        <v>1</v>
      </c>
    </row>
    <row r="4" spans="2:11" ht="29.1" customHeight="1" thickBot="1"/>
    <row r="5" spans="2:11" ht="30.95" customHeight="1" thickBot="1">
      <c r="B5" s="101" t="s">
        <v>45</v>
      </c>
      <c r="C5" s="102" t="s">
        <v>46</v>
      </c>
    </row>
    <row r="6" spans="2:11" ht="33" customHeight="1" thickBot="1"/>
    <row r="7" spans="2:11" ht="39.950000000000003" customHeight="1" thickBot="1">
      <c r="B7" s="108" t="s">
        <v>2</v>
      </c>
      <c r="C7" s="109" t="s">
        <v>47</v>
      </c>
      <c r="D7" s="109" t="s">
        <v>48</v>
      </c>
      <c r="E7" s="109" t="s">
        <v>49</v>
      </c>
      <c r="F7" s="110" t="s">
        <v>50</v>
      </c>
    </row>
    <row r="8" spans="2:11" ht="50.1" customHeight="1">
      <c r="B8" s="126" t="s">
        <v>8</v>
      </c>
      <c r="C8" s="94" t="s">
        <v>51</v>
      </c>
      <c r="D8" s="94" t="s">
        <v>52</v>
      </c>
      <c r="E8" s="94" t="s">
        <v>53</v>
      </c>
      <c r="F8" s="103"/>
      <c r="K8" s="91"/>
    </row>
    <row r="9" spans="2:11" ht="50.1" customHeight="1">
      <c r="B9" s="127"/>
      <c r="C9" s="92" t="s">
        <v>54</v>
      </c>
      <c r="D9" s="92"/>
      <c r="E9" s="92" t="s">
        <v>55</v>
      </c>
      <c r="F9" s="98" t="s">
        <v>56</v>
      </c>
      <c r="K9" s="91"/>
    </row>
    <row r="10" spans="2:11" ht="50.1" customHeight="1">
      <c r="B10" s="127" t="s">
        <v>57</v>
      </c>
      <c r="C10" s="92" t="s">
        <v>58</v>
      </c>
      <c r="D10" s="92" t="s">
        <v>59</v>
      </c>
      <c r="E10" s="92" t="s">
        <v>60</v>
      </c>
      <c r="F10" s="98"/>
      <c r="K10" s="91"/>
    </row>
    <row r="11" spans="2:11" ht="50.1" customHeight="1">
      <c r="B11" s="127"/>
      <c r="C11" s="92" t="s">
        <v>61</v>
      </c>
      <c r="D11" s="92" t="s">
        <v>59</v>
      </c>
      <c r="E11" s="92" t="s">
        <v>62</v>
      </c>
      <c r="F11" s="98"/>
      <c r="K11" s="91"/>
    </row>
    <row r="12" spans="2:11" ht="50.1" customHeight="1">
      <c r="B12" s="127"/>
      <c r="C12" s="92" t="s">
        <v>30</v>
      </c>
      <c r="D12" s="92" t="s">
        <v>63</v>
      </c>
      <c r="E12" s="92" t="s">
        <v>64</v>
      </c>
      <c r="F12" s="98"/>
      <c r="K12" s="91"/>
    </row>
    <row r="13" spans="2:11" ht="50.1" customHeight="1">
      <c r="B13" s="127"/>
      <c r="C13" s="92" t="s">
        <v>34</v>
      </c>
      <c r="D13" s="92" t="s">
        <v>63</v>
      </c>
      <c r="E13" s="92" t="s">
        <v>65</v>
      </c>
      <c r="F13" s="98"/>
      <c r="K13" s="91"/>
    </row>
    <row r="14" spans="2:11" ht="50.1" customHeight="1">
      <c r="B14" s="127"/>
      <c r="C14" s="92" t="s">
        <v>66</v>
      </c>
      <c r="D14" s="92" t="s">
        <v>67</v>
      </c>
      <c r="E14" s="92" t="s">
        <v>68</v>
      </c>
      <c r="F14" s="98"/>
      <c r="K14" s="91"/>
    </row>
    <row r="15" spans="2:11" ht="50.1" customHeight="1" thickBot="1">
      <c r="B15" s="128"/>
      <c r="C15" s="99" t="s">
        <v>41</v>
      </c>
      <c r="D15" s="99" t="s">
        <v>63</v>
      </c>
      <c r="E15" s="99" t="s">
        <v>69</v>
      </c>
      <c r="F15" s="100"/>
      <c r="K15" s="91"/>
    </row>
  </sheetData>
  <mergeCells count="3">
    <mergeCell ref="B10:B15"/>
    <mergeCell ref="B8:B9"/>
    <mergeCell ref="B3:D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A316-C5D6-214B-8DD6-201D81FC8D48}">
  <dimension ref="A1:G73"/>
  <sheetViews>
    <sheetView workbookViewId="0">
      <selection activeCell="F2" sqref="F2"/>
    </sheetView>
  </sheetViews>
  <sheetFormatPr defaultColWidth="7.5546875" defaultRowHeight="14.1"/>
  <cols>
    <col min="1" max="1" width="11.6640625" style="1" customWidth="1"/>
    <col min="2" max="2" width="16.5546875" style="1" customWidth="1"/>
    <col min="3" max="3" width="7.5546875" style="1"/>
    <col min="4" max="4" width="30.5546875" style="1" customWidth="1"/>
    <col min="5" max="5" width="11.44140625" style="1" customWidth="1"/>
    <col min="6" max="6" width="12.44140625" style="1" customWidth="1"/>
    <col min="7" max="16384" width="7.5546875" style="1"/>
  </cols>
  <sheetData>
    <row r="1" spans="1:7">
      <c r="A1" s="111" t="s">
        <v>70</v>
      </c>
      <c r="B1" s="111" t="s">
        <v>71</v>
      </c>
      <c r="C1" s="117" t="s">
        <v>72</v>
      </c>
      <c r="D1" s="111" t="s">
        <v>73</v>
      </c>
      <c r="E1" s="112" t="s">
        <v>74</v>
      </c>
      <c r="F1" s="111" t="s">
        <v>7</v>
      </c>
      <c r="G1" s="2"/>
    </row>
    <row r="2" spans="1:7" ht="15">
      <c r="A2" s="115">
        <v>45905</v>
      </c>
      <c r="B2" s="5" t="s">
        <v>75</v>
      </c>
      <c r="C2" s="7"/>
      <c r="D2" s="5" t="s">
        <v>76</v>
      </c>
      <c r="E2" s="4">
        <v>1</v>
      </c>
      <c r="F2" s="113">
        <v>35004103</v>
      </c>
      <c r="G2" s="2"/>
    </row>
    <row r="3" spans="1:7" ht="15">
      <c r="A3" s="115">
        <v>45905</v>
      </c>
      <c r="B3" s="5" t="s">
        <v>77</v>
      </c>
      <c r="C3" s="7"/>
      <c r="D3" s="5" t="s">
        <v>78</v>
      </c>
      <c r="E3" s="4">
        <v>2</v>
      </c>
      <c r="F3" s="113">
        <v>35004103</v>
      </c>
      <c r="G3" s="2"/>
    </row>
    <row r="4" spans="1:7" ht="15">
      <c r="A4" s="115">
        <v>45905</v>
      </c>
      <c r="B4" s="5" t="s">
        <v>79</v>
      </c>
      <c r="C4" s="7"/>
      <c r="D4" s="5" t="s">
        <v>80</v>
      </c>
      <c r="E4" s="4">
        <v>1</v>
      </c>
      <c r="F4" s="113">
        <v>35004103</v>
      </c>
      <c r="G4" s="2"/>
    </row>
    <row r="5" spans="1:7" ht="30">
      <c r="A5" s="115">
        <v>45911</v>
      </c>
      <c r="B5" s="5" t="s">
        <v>81</v>
      </c>
      <c r="C5" s="7"/>
      <c r="D5" s="5" t="s">
        <v>82</v>
      </c>
      <c r="E5" s="4">
        <v>1</v>
      </c>
      <c r="F5" s="113">
        <v>35000408</v>
      </c>
      <c r="G5" s="2"/>
    </row>
    <row r="6" spans="1:7" ht="45">
      <c r="A6" s="115">
        <v>45911</v>
      </c>
      <c r="B6" s="5" t="s">
        <v>83</v>
      </c>
      <c r="C6" s="7"/>
      <c r="D6" s="5" t="s">
        <v>84</v>
      </c>
      <c r="E6" s="4">
        <v>1</v>
      </c>
      <c r="F6" s="113">
        <v>35103807</v>
      </c>
      <c r="G6" s="2"/>
    </row>
    <row r="7" spans="1:7" ht="60">
      <c r="A7" s="115">
        <v>45911</v>
      </c>
      <c r="B7" s="5" t="s">
        <v>85</v>
      </c>
      <c r="C7" s="7"/>
      <c r="D7" s="5" t="s">
        <v>86</v>
      </c>
      <c r="E7" s="4">
        <v>1</v>
      </c>
      <c r="F7" s="113">
        <v>35005508</v>
      </c>
      <c r="G7" s="2"/>
    </row>
    <row r="8" spans="1:7" ht="45">
      <c r="A8" s="115">
        <v>45911</v>
      </c>
      <c r="B8" s="5" t="s">
        <v>87</v>
      </c>
      <c r="C8" s="7"/>
      <c r="D8" s="5" t="s">
        <v>88</v>
      </c>
      <c r="E8" s="4">
        <v>1</v>
      </c>
      <c r="F8" s="113">
        <v>35037907</v>
      </c>
      <c r="G8" s="2"/>
    </row>
    <row r="9" spans="1:7" ht="45">
      <c r="A9" s="115">
        <v>45911</v>
      </c>
      <c r="B9" s="5" t="s">
        <v>89</v>
      </c>
      <c r="C9" s="7"/>
      <c r="D9" s="5" t="s">
        <v>90</v>
      </c>
      <c r="E9" s="4">
        <v>1</v>
      </c>
      <c r="F9" s="113">
        <v>35001508</v>
      </c>
      <c r="G9" s="2"/>
    </row>
    <row r="10" spans="1:7" ht="45">
      <c r="A10" s="115">
        <v>45911</v>
      </c>
      <c r="B10" s="5" t="s">
        <v>91</v>
      </c>
      <c r="C10" s="7"/>
      <c r="D10" s="5" t="s">
        <v>92</v>
      </c>
      <c r="E10" s="4">
        <v>1</v>
      </c>
      <c r="F10" s="113">
        <v>35053708</v>
      </c>
      <c r="G10" s="2"/>
    </row>
    <row r="11" spans="1:7" ht="30">
      <c r="A11" s="115">
        <v>45911</v>
      </c>
      <c r="B11" s="5" t="s">
        <v>93</v>
      </c>
      <c r="C11" s="7"/>
      <c r="D11" s="5" t="s">
        <v>94</v>
      </c>
      <c r="E11" s="4">
        <v>1</v>
      </c>
      <c r="F11" s="113">
        <v>35010308</v>
      </c>
      <c r="G11" s="2"/>
    </row>
    <row r="12" spans="1:7" ht="30">
      <c r="A12" s="115">
        <v>45911</v>
      </c>
      <c r="B12" s="5" t="s">
        <v>81</v>
      </c>
      <c r="C12" s="7"/>
      <c r="D12" s="5" t="s">
        <v>95</v>
      </c>
      <c r="E12" s="4">
        <v>1</v>
      </c>
      <c r="F12" s="113">
        <v>35010308</v>
      </c>
      <c r="G12" s="2"/>
    </row>
    <row r="13" spans="1:7" ht="45">
      <c r="A13" s="115">
        <v>45911</v>
      </c>
      <c r="B13" s="5" t="s">
        <v>96</v>
      </c>
      <c r="C13" s="7"/>
      <c r="D13" s="5" t="s">
        <v>97</v>
      </c>
      <c r="E13" s="4">
        <v>1</v>
      </c>
      <c r="F13" s="113">
        <v>35068408</v>
      </c>
      <c r="G13" s="2"/>
    </row>
    <row r="14" spans="1:7" ht="30">
      <c r="A14" s="115">
        <v>45911</v>
      </c>
      <c r="B14" s="5" t="s">
        <v>96</v>
      </c>
      <c r="C14" s="7"/>
      <c r="D14" s="5" t="s">
        <v>98</v>
      </c>
      <c r="E14" s="4">
        <v>1</v>
      </c>
      <c r="F14" s="113">
        <v>35017608</v>
      </c>
      <c r="G14" s="2"/>
    </row>
    <row r="15" spans="1:7" ht="30">
      <c r="A15" s="115">
        <v>45911</v>
      </c>
      <c r="B15" s="5" t="s">
        <v>99</v>
      </c>
      <c r="C15" s="7"/>
      <c r="D15" s="5" t="s">
        <v>100</v>
      </c>
      <c r="E15" s="4">
        <v>1</v>
      </c>
      <c r="F15" s="113">
        <v>35045608</v>
      </c>
      <c r="G15" s="2"/>
    </row>
    <row r="16" spans="1:7" ht="45">
      <c r="A16" s="115">
        <v>45911</v>
      </c>
      <c r="B16" s="5" t="s">
        <v>101</v>
      </c>
      <c r="C16" s="7"/>
      <c r="D16" s="5" t="s">
        <v>102</v>
      </c>
      <c r="E16" s="4">
        <v>1</v>
      </c>
      <c r="F16" s="113">
        <v>35066806</v>
      </c>
      <c r="G16" s="2"/>
    </row>
    <row r="17" spans="1:7" ht="30">
      <c r="A17" s="115">
        <v>45911</v>
      </c>
      <c r="B17" s="5" t="s">
        <v>103</v>
      </c>
      <c r="C17" s="7"/>
      <c r="D17" s="5" t="s">
        <v>104</v>
      </c>
      <c r="E17" s="4">
        <v>1</v>
      </c>
      <c r="F17" s="113">
        <v>35055805</v>
      </c>
      <c r="G17" s="2"/>
    </row>
    <row r="18" spans="1:7" ht="45">
      <c r="A18" s="115">
        <v>45911</v>
      </c>
      <c r="B18" s="5" t="s">
        <v>105</v>
      </c>
      <c r="C18" s="7"/>
      <c r="D18" s="5" t="s">
        <v>106</v>
      </c>
      <c r="E18" s="4">
        <v>1</v>
      </c>
      <c r="F18" s="113">
        <v>35055805</v>
      </c>
      <c r="G18" s="2"/>
    </row>
    <row r="19" spans="1:7" ht="45">
      <c r="A19" s="115">
        <v>45911</v>
      </c>
      <c r="B19" s="5" t="s">
        <v>107</v>
      </c>
      <c r="C19" s="7"/>
      <c r="D19" s="5" t="s">
        <v>108</v>
      </c>
      <c r="E19" s="4">
        <v>28</v>
      </c>
      <c r="F19" s="113">
        <v>35055805</v>
      </c>
      <c r="G19" s="2"/>
    </row>
    <row r="20" spans="1:7" ht="45">
      <c r="A20" s="115">
        <v>45911</v>
      </c>
      <c r="B20" s="5" t="s">
        <v>109</v>
      </c>
      <c r="C20" s="7"/>
      <c r="D20" s="5" t="s">
        <v>110</v>
      </c>
      <c r="E20" s="4">
        <v>4</v>
      </c>
      <c r="F20" s="113">
        <v>35055805</v>
      </c>
      <c r="G20" s="2"/>
    </row>
    <row r="21" spans="1:7" ht="45">
      <c r="A21" s="115">
        <v>45911</v>
      </c>
      <c r="B21" s="5" t="s">
        <v>111</v>
      </c>
      <c r="C21" s="7"/>
      <c r="D21" s="5" t="s">
        <v>112</v>
      </c>
      <c r="E21" s="4">
        <v>4</v>
      </c>
      <c r="F21" s="113">
        <v>35055805</v>
      </c>
      <c r="G21" s="2"/>
    </row>
    <row r="22" spans="1:7" ht="30">
      <c r="A22" s="115">
        <v>45911</v>
      </c>
      <c r="B22" s="5" t="s">
        <v>113</v>
      </c>
      <c r="C22" s="7"/>
      <c r="D22" s="5" t="s">
        <v>114</v>
      </c>
      <c r="E22" s="4">
        <v>2</v>
      </c>
      <c r="F22" s="113">
        <v>35055805</v>
      </c>
      <c r="G22" s="2"/>
    </row>
    <row r="23" spans="1:7" ht="30">
      <c r="A23" s="115">
        <v>45911</v>
      </c>
      <c r="B23" s="5" t="s">
        <v>115</v>
      </c>
      <c r="C23" s="7"/>
      <c r="D23" s="5" t="s">
        <v>116</v>
      </c>
      <c r="E23" s="4">
        <v>4</v>
      </c>
      <c r="F23" s="113">
        <v>35055805</v>
      </c>
      <c r="G23" s="2"/>
    </row>
    <row r="24" spans="1:7" ht="30">
      <c r="A24" s="115">
        <v>45911</v>
      </c>
      <c r="B24" s="5" t="s">
        <v>117</v>
      </c>
      <c r="C24" s="7"/>
      <c r="D24" s="5" t="s">
        <v>118</v>
      </c>
      <c r="E24" s="4">
        <v>4</v>
      </c>
      <c r="F24" s="113">
        <v>35055805</v>
      </c>
      <c r="G24" s="2"/>
    </row>
    <row r="25" spans="1:7" ht="45">
      <c r="A25" s="115">
        <v>45911</v>
      </c>
      <c r="B25" s="5" t="s">
        <v>119</v>
      </c>
      <c r="C25" s="7"/>
      <c r="D25" s="5" t="s">
        <v>120</v>
      </c>
      <c r="E25" s="4">
        <v>5</v>
      </c>
      <c r="F25" s="113">
        <v>35055805</v>
      </c>
      <c r="G25" s="2"/>
    </row>
    <row r="26" spans="1:7" ht="45">
      <c r="A26" s="115">
        <v>45911</v>
      </c>
      <c r="B26" s="5" t="s">
        <v>121</v>
      </c>
      <c r="C26" s="7"/>
      <c r="D26" s="5" t="s">
        <v>122</v>
      </c>
      <c r="E26" s="4">
        <v>16</v>
      </c>
      <c r="F26" s="113">
        <v>35055805</v>
      </c>
      <c r="G26" s="2"/>
    </row>
    <row r="27" spans="1:7" ht="45">
      <c r="A27" s="115">
        <v>45911</v>
      </c>
      <c r="B27" s="5" t="s">
        <v>123</v>
      </c>
      <c r="C27" s="7"/>
      <c r="D27" s="5" t="s">
        <v>124</v>
      </c>
      <c r="E27" s="4">
        <v>20</v>
      </c>
      <c r="F27" s="113">
        <v>35055805</v>
      </c>
      <c r="G27" s="2"/>
    </row>
    <row r="28" spans="1:7" ht="45">
      <c r="A28" s="115">
        <v>45911</v>
      </c>
      <c r="B28" s="5" t="s">
        <v>125</v>
      </c>
      <c r="C28" s="7"/>
      <c r="D28" s="5" t="s">
        <v>126</v>
      </c>
      <c r="E28" s="4">
        <v>50</v>
      </c>
      <c r="F28" s="113">
        <v>35055805</v>
      </c>
      <c r="G28" s="2"/>
    </row>
    <row r="29" spans="1:7" ht="45">
      <c r="A29" s="115">
        <v>45911</v>
      </c>
      <c r="B29" s="5" t="s">
        <v>125</v>
      </c>
      <c r="C29" s="7"/>
      <c r="D29" s="5" t="s">
        <v>126</v>
      </c>
      <c r="E29" s="4">
        <v>28</v>
      </c>
      <c r="F29" s="113">
        <v>35055805</v>
      </c>
      <c r="G29" s="2"/>
    </row>
    <row r="30" spans="1:7" ht="45">
      <c r="A30" s="115">
        <v>45911</v>
      </c>
      <c r="B30" s="5" t="s">
        <v>127</v>
      </c>
      <c r="C30" s="7"/>
      <c r="D30" s="5" t="s">
        <v>128</v>
      </c>
      <c r="E30" s="4">
        <v>4</v>
      </c>
      <c r="F30" s="113">
        <v>35055805</v>
      </c>
      <c r="G30" s="2"/>
    </row>
    <row r="31" spans="1:7" ht="30">
      <c r="A31" s="115">
        <v>45911</v>
      </c>
      <c r="B31" s="5" t="s">
        <v>129</v>
      </c>
      <c r="C31" s="7"/>
      <c r="D31" s="5" t="s">
        <v>130</v>
      </c>
      <c r="E31" s="4">
        <v>12</v>
      </c>
      <c r="F31" s="113">
        <v>35055805</v>
      </c>
      <c r="G31" s="2"/>
    </row>
    <row r="32" spans="1:7" ht="30">
      <c r="A32" s="115">
        <v>45911</v>
      </c>
      <c r="B32" s="5" t="s">
        <v>131</v>
      </c>
      <c r="C32" s="7"/>
      <c r="D32" s="5" t="s">
        <v>132</v>
      </c>
      <c r="E32" s="4">
        <v>8</v>
      </c>
      <c r="F32" s="113">
        <v>35055805</v>
      </c>
      <c r="G32" s="2"/>
    </row>
    <row r="33" spans="1:7" ht="45">
      <c r="A33" s="115">
        <v>45911</v>
      </c>
      <c r="B33" s="5" t="s">
        <v>133</v>
      </c>
      <c r="C33" s="7"/>
      <c r="D33" s="5" t="s">
        <v>134</v>
      </c>
      <c r="E33" s="4">
        <v>8</v>
      </c>
      <c r="F33" s="113">
        <v>35055805</v>
      </c>
      <c r="G33" s="2"/>
    </row>
    <row r="34" spans="1:7" ht="15">
      <c r="A34" s="115">
        <v>45911</v>
      </c>
      <c r="B34" s="5" t="s">
        <v>135</v>
      </c>
      <c r="C34" s="7"/>
      <c r="D34" s="5" t="s">
        <v>136</v>
      </c>
      <c r="E34" s="4">
        <v>4</v>
      </c>
      <c r="F34" s="113">
        <v>35100607</v>
      </c>
      <c r="G34" s="2"/>
    </row>
    <row r="35" spans="1:7" ht="45">
      <c r="A35" s="115">
        <v>45911</v>
      </c>
      <c r="B35" s="5" t="s">
        <v>137</v>
      </c>
      <c r="C35" s="7"/>
      <c r="D35" s="5" t="s">
        <v>138</v>
      </c>
      <c r="E35" s="4">
        <v>4</v>
      </c>
      <c r="F35" s="113">
        <v>35100607</v>
      </c>
      <c r="G35" s="2"/>
    </row>
    <row r="36" spans="1:7" ht="60">
      <c r="A36" s="115">
        <v>45911</v>
      </c>
      <c r="B36" s="5" t="s">
        <v>139</v>
      </c>
      <c r="C36" s="7"/>
      <c r="D36" s="5" t="s">
        <v>140</v>
      </c>
      <c r="E36" s="4">
        <v>2</v>
      </c>
      <c r="F36" s="113">
        <v>35078008</v>
      </c>
      <c r="G36" s="2"/>
    </row>
    <row r="37" spans="1:7" ht="30">
      <c r="A37" s="115">
        <v>45911</v>
      </c>
      <c r="B37" s="5" t="s">
        <v>141</v>
      </c>
      <c r="C37" s="7"/>
      <c r="D37" s="5" t="s">
        <v>142</v>
      </c>
      <c r="E37" s="4">
        <v>3</v>
      </c>
      <c r="F37" s="113">
        <v>35014408</v>
      </c>
      <c r="G37" s="2"/>
    </row>
    <row r="38" spans="1:7" ht="30">
      <c r="A38" s="115">
        <v>45911</v>
      </c>
      <c r="B38" s="5" t="s">
        <v>143</v>
      </c>
      <c r="C38" s="7"/>
      <c r="D38" s="5" t="s">
        <v>144</v>
      </c>
      <c r="E38" s="4">
        <v>1</v>
      </c>
      <c r="F38" s="113">
        <v>35014408</v>
      </c>
      <c r="G38" s="2"/>
    </row>
    <row r="39" spans="1:7" ht="30">
      <c r="A39" s="115">
        <v>45911</v>
      </c>
      <c r="B39" s="5" t="s">
        <v>145</v>
      </c>
      <c r="C39" s="7"/>
      <c r="D39" s="5" t="s">
        <v>146</v>
      </c>
      <c r="E39" s="4">
        <v>1</v>
      </c>
      <c r="F39" s="113">
        <v>35079008</v>
      </c>
      <c r="G39" s="2"/>
    </row>
    <row r="40" spans="1:7" ht="45">
      <c r="A40" s="115">
        <v>45911</v>
      </c>
      <c r="B40" s="5" t="s">
        <v>147</v>
      </c>
      <c r="C40" s="7"/>
      <c r="D40" s="5" t="s">
        <v>148</v>
      </c>
      <c r="E40" s="4">
        <v>2</v>
      </c>
      <c r="F40" s="113">
        <v>35110007</v>
      </c>
      <c r="G40" s="2"/>
    </row>
    <row r="41" spans="1:7" ht="45">
      <c r="A41" s="115">
        <v>45911</v>
      </c>
      <c r="B41" s="5" t="s">
        <v>149</v>
      </c>
      <c r="C41" s="7"/>
      <c r="D41" s="5" t="s">
        <v>150</v>
      </c>
      <c r="E41" s="4">
        <v>1</v>
      </c>
      <c r="F41" s="113">
        <v>35086007</v>
      </c>
      <c r="G41" s="2"/>
    </row>
    <row r="42" spans="1:7" ht="30">
      <c r="A42" s="115">
        <v>45911</v>
      </c>
      <c r="B42" s="5" t="s">
        <v>151</v>
      </c>
      <c r="C42" s="7" t="s">
        <v>152</v>
      </c>
      <c r="D42" s="5" t="s">
        <v>153</v>
      </c>
      <c r="E42" s="4">
        <v>1</v>
      </c>
      <c r="F42" s="113">
        <v>35036803</v>
      </c>
      <c r="G42" s="2"/>
    </row>
    <row r="43" spans="1:7" ht="15">
      <c r="A43" s="115">
        <v>45911</v>
      </c>
      <c r="B43" s="5" t="s">
        <v>154</v>
      </c>
      <c r="C43" s="7"/>
      <c r="D43" s="5" t="s">
        <v>155</v>
      </c>
      <c r="E43" s="4">
        <v>18</v>
      </c>
      <c r="F43" s="113">
        <v>35079607</v>
      </c>
      <c r="G43" s="2"/>
    </row>
    <row r="44" spans="1:7" ht="30">
      <c r="A44" s="115">
        <v>45911</v>
      </c>
      <c r="B44" s="5" t="s">
        <v>156</v>
      </c>
      <c r="C44" s="7"/>
      <c r="D44" s="5" t="s">
        <v>157</v>
      </c>
      <c r="E44" s="4">
        <v>1</v>
      </c>
      <c r="F44" s="113">
        <v>35094106</v>
      </c>
      <c r="G44" s="2"/>
    </row>
    <row r="45" spans="1:7" ht="30">
      <c r="A45" s="115">
        <v>45911</v>
      </c>
      <c r="B45" s="5" t="s">
        <v>158</v>
      </c>
      <c r="C45" s="7"/>
      <c r="D45" s="5" t="s">
        <v>159</v>
      </c>
      <c r="E45" s="4">
        <v>1</v>
      </c>
      <c r="F45" s="113">
        <v>35094106</v>
      </c>
      <c r="G45" s="2"/>
    </row>
    <row r="46" spans="1:7" ht="30">
      <c r="A46" s="115">
        <v>45911</v>
      </c>
      <c r="B46" s="5" t="s">
        <v>160</v>
      </c>
      <c r="C46" s="7"/>
      <c r="D46" s="5" t="s">
        <v>161</v>
      </c>
      <c r="E46" s="4">
        <v>1</v>
      </c>
      <c r="F46" s="113">
        <v>35076808</v>
      </c>
      <c r="G46" s="2"/>
    </row>
    <row r="47" spans="1:7" ht="45">
      <c r="A47" s="115">
        <v>45911</v>
      </c>
      <c r="B47" s="5" t="s">
        <v>162</v>
      </c>
      <c r="C47" s="7"/>
      <c r="D47" s="5" t="s">
        <v>163</v>
      </c>
      <c r="E47" s="4">
        <v>1</v>
      </c>
      <c r="F47" s="113">
        <v>35093908</v>
      </c>
      <c r="G47" s="2"/>
    </row>
    <row r="48" spans="1:7" ht="30">
      <c r="A48" s="115">
        <v>45911</v>
      </c>
      <c r="B48" s="5" t="s">
        <v>81</v>
      </c>
      <c r="C48" s="7"/>
      <c r="D48" s="5" t="s">
        <v>164</v>
      </c>
      <c r="E48" s="4">
        <v>1</v>
      </c>
      <c r="F48" s="113">
        <v>35066704</v>
      </c>
      <c r="G48" s="2"/>
    </row>
    <row r="49" spans="1:7" ht="15">
      <c r="A49" s="115">
        <v>45911</v>
      </c>
      <c r="B49" s="5" t="s">
        <v>135</v>
      </c>
      <c r="C49" s="7"/>
      <c r="D49" s="5" t="s">
        <v>165</v>
      </c>
      <c r="E49" s="4">
        <v>3</v>
      </c>
      <c r="F49" s="113">
        <v>35037504</v>
      </c>
      <c r="G49" s="2"/>
    </row>
    <row r="50" spans="1:7" ht="45">
      <c r="A50" s="115">
        <v>45911</v>
      </c>
      <c r="B50" s="5" t="s">
        <v>162</v>
      </c>
      <c r="C50" s="7"/>
      <c r="D50" s="5" t="s">
        <v>163</v>
      </c>
      <c r="E50" s="4">
        <v>1</v>
      </c>
      <c r="F50" s="113">
        <v>35090408</v>
      </c>
      <c r="G50" s="2"/>
    </row>
    <row r="51" spans="1:7" ht="30">
      <c r="A51" s="115">
        <v>45911</v>
      </c>
      <c r="B51" s="5" t="s">
        <v>154</v>
      </c>
      <c r="C51" s="7" t="s">
        <v>166</v>
      </c>
      <c r="D51" s="5" t="s">
        <v>155</v>
      </c>
      <c r="E51" s="4">
        <v>9</v>
      </c>
      <c r="F51" s="113">
        <v>35090408</v>
      </c>
      <c r="G51" s="2"/>
    </row>
    <row r="52" spans="1:7" ht="30">
      <c r="A52" s="115">
        <v>45911</v>
      </c>
      <c r="B52" s="5" t="s">
        <v>167</v>
      </c>
      <c r="C52" s="7"/>
      <c r="D52" s="5" t="s">
        <v>168</v>
      </c>
      <c r="E52" s="4">
        <v>1</v>
      </c>
      <c r="F52" s="113">
        <v>25083707</v>
      </c>
      <c r="G52" s="2"/>
    </row>
    <row r="53" spans="1:7" ht="30">
      <c r="A53" s="115">
        <v>45911</v>
      </c>
      <c r="B53" s="5" t="s">
        <v>169</v>
      </c>
      <c r="C53" s="7"/>
      <c r="D53" s="5" t="s">
        <v>170</v>
      </c>
      <c r="E53" s="4">
        <v>3</v>
      </c>
      <c r="F53" s="3" t="s">
        <v>171</v>
      </c>
      <c r="G53" s="2"/>
    </row>
    <row r="54" spans="1:7" ht="45">
      <c r="A54" s="115">
        <v>45911</v>
      </c>
      <c r="B54" s="5" t="s">
        <v>172</v>
      </c>
      <c r="C54" s="7"/>
      <c r="D54" s="5" t="s">
        <v>173</v>
      </c>
      <c r="E54" s="4">
        <v>3</v>
      </c>
      <c r="F54" s="3" t="s">
        <v>171</v>
      </c>
      <c r="G54" s="2"/>
    </row>
    <row r="55" spans="1:7" ht="30">
      <c r="A55" s="115">
        <v>45911</v>
      </c>
      <c r="B55" s="5" t="s">
        <v>174</v>
      </c>
      <c r="C55" s="7"/>
      <c r="D55" s="5" t="s">
        <v>175</v>
      </c>
      <c r="E55" s="4">
        <v>3</v>
      </c>
      <c r="F55" s="3" t="s">
        <v>171</v>
      </c>
      <c r="G55" s="2"/>
    </row>
    <row r="56" spans="1:7" ht="45">
      <c r="A56" s="115">
        <v>45911</v>
      </c>
      <c r="B56" s="5" t="s">
        <v>176</v>
      </c>
      <c r="C56" s="7"/>
      <c r="D56" s="5" t="s">
        <v>177</v>
      </c>
      <c r="E56" s="4">
        <v>3</v>
      </c>
      <c r="F56" s="3" t="s">
        <v>171</v>
      </c>
      <c r="G56" s="2"/>
    </row>
    <row r="57" spans="1:7" ht="30">
      <c r="A57" s="115">
        <v>45911</v>
      </c>
      <c r="B57" s="5" t="s">
        <v>178</v>
      </c>
      <c r="C57" s="7"/>
      <c r="D57" s="5" t="s">
        <v>179</v>
      </c>
      <c r="E57" s="4">
        <v>3</v>
      </c>
      <c r="F57" s="3" t="s">
        <v>171</v>
      </c>
      <c r="G57" s="2"/>
    </row>
    <row r="58" spans="1:7" ht="15">
      <c r="A58" s="115">
        <v>45911</v>
      </c>
      <c r="B58" s="5" t="s">
        <v>180</v>
      </c>
      <c r="C58" s="7"/>
      <c r="D58" s="5" t="s">
        <v>181</v>
      </c>
      <c r="E58" s="4">
        <v>5</v>
      </c>
      <c r="F58" s="3" t="s">
        <v>171</v>
      </c>
      <c r="G58" s="2"/>
    </row>
    <row r="59" spans="1:7" ht="30">
      <c r="A59" s="115">
        <v>45911</v>
      </c>
      <c r="B59" s="5" t="s">
        <v>182</v>
      </c>
      <c r="C59" s="7"/>
      <c r="D59" s="5" t="s">
        <v>183</v>
      </c>
      <c r="E59" s="4">
        <v>5</v>
      </c>
      <c r="F59" s="3" t="s">
        <v>171</v>
      </c>
      <c r="G59" s="2"/>
    </row>
    <row r="60" spans="1:7" ht="30">
      <c r="A60" s="115">
        <v>45911</v>
      </c>
      <c r="B60" s="5" t="s">
        <v>184</v>
      </c>
      <c r="C60" s="7"/>
      <c r="D60" s="5" t="s">
        <v>185</v>
      </c>
      <c r="E60" s="4">
        <v>5</v>
      </c>
      <c r="F60" s="3" t="s">
        <v>171</v>
      </c>
      <c r="G60" s="2"/>
    </row>
    <row r="61" spans="1:7" ht="30">
      <c r="A61" s="115">
        <v>45911</v>
      </c>
      <c r="B61" s="5" t="s">
        <v>186</v>
      </c>
      <c r="C61" s="7"/>
      <c r="D61" s="5" t="s">
        <v>187</v>
      </c>
      <c r="E61" s="4">
        <v>5</v>
      </c>
      <c r="F61" s="3" t="s">
        <v>171</v>
      </c>
      <c r="G61" s="2"/>
    </row>
    <row r="62" spans="1:7" ht="30">
      <c r="A62" s="115">
        <v>45911</v>
      </c>
      <c r="B62" s="5" t="s">
        <v>188</v>
      </c>
      <c r="C62" s="7"/>
      <c r="D62" s="5" t="s">
        <v>189</v>
      </c>
      <c r="E62" s="4">
        <v>3</v>
      </c>
      <c r="F62" s="3" t="s">
        <v>171</v>
      </c>
      <c r="G62" s="2"/>
    </row>
    <row r="63" spans="1:7" ht="30">
      <c r="A63" s="115">
        <v>45911</v>
      </c>
      <c r="B63" s="5" t="s">
        <v>190</v>
      </c>
      <c r="C63" s="7"/>
      <c r="D63" s="5" t="s">
        <v>191</v>
      </c>
      <c r="E63" s="4">
        <v>3</v>
      </c>
      <c r="F63" s="3" t="s">
        <v>171</v>
      </c>
      <c r="G63" s="2"/>
    </row>
    <row r="64" spans="1:7" ht="30">
      <c r="A64" s="115">
        <v>45911</v>
      </c>
      <c r="B64" s="5" t="s">
        <v>192</v>
      </c>
      <c r="C64" s="7"/>
      <c r="D64" s="5" t="s">
        <v>193</v>
      </c>
      <c r="E64" s="4">
        <v>60</v>
      </c>
      <c r="F64" s="3" t="s">
        <v>171</v>
      </c>
      <c r="G64" s="2"/>
    </row>
    <row r="65" spans="1:7" ht="30">
      <c r="A65" s="115">
        <v>45911</v>
      </c>
      <c r="B65" s="5" t="s">
        <v>194</v>
      </c>
      <c r="C65" s="7"/>
      <c r="D65" s="5" t="s">
        <v>195</v>
      </c>
      <c r="E65" s="4">
        <v>10</v>
      </c>
      <c r="F65" s="3" t="s">
        <v>171</v>
      </c>
      <c r="G65" s="2"/>
    </row>
    <row r="66" spans="1:7" ht="30">
      <c r="A66" s="115">
        <v>45911</v>
      </c>
      <c r="B66" s="5" t="s">
        <v>196</v>
      </c>
      <c r="C66" s="7"/>
      <c r="D66" s="5" t="s">
        <v>197</v>
      </c>
      <c r="E66" s="4">
        <v>2</v>
      </c>
      <c r="F66" s="3" t="s">
        <v>171</v>
      </c>
      <c r="G66" s="2"/>
    </row>
    <row r="67" spans="1:7" ht="30">
      <c r="A67" s="115">
        <v>45911</v>
      </c>
      <c r="B67" s="5" t="s">
        <v>198</v>
      </c>
      <c r="C67" s="7"/>
      <c r="D67" s="5" t="s">
        <v>199</v>
      </c>
      <c r="E67" s="4">
        <v>48</v>
      </c>
      <c r="F67" s="3" t="s">
        <v>171</v>
      </c>
      <c r="G67" s="2"/>
    </row>
    <row r="68" spans="1:7" ht="30">
      <c r="A68" s="115">
        <v>45911</v>
      </c>
      <c r="B68" s="5" t="s">
        <v>200</v>
      </c>
      <c r="C68" s="7"/>
      <c r="D68" s="5" t="s">
        <v>201</v>
      </c>
      <c r="E68" s="4">
        <v>20</v>
      </c>
      <c r="F68" s="3" t="s">
        <v>171</v>
      </c>
      <c r="G68" s="2"/>
    </row>
    <row r="69" spans="1:7" ht="15">
      <c r="A69" s="115">
        <v>45911</v>
      </c>
      <c r="B69" s="5" t="s">
        <v>202</v>
      </c>
      <c r="C69" s="7"/>
      <c r="D69" s="5" t="s">
        <v>203</v>
      </c>
      <c r="E69" s="4">
        <v>30</v>
      </c>
      <c r="F69" s="3" t="s">
        <v>171</v>
      </c>
      <c r="G69" s="2"/>
    </row>
    <row r="70" spans="1:7" ht="15">
      <c r="A70" s="115">
        <v>45911</v>
      </c>
      <c r="B70" s="5" t="s">
        <v>204</v>
      </c>
      <c r="C70" s="7"/>
      <c r="D70" s="5" t="s">
        <v>205</v>
      </c>
      <c r="E70" s="4">
        <v>10</v>
      </c>
      <c r="F70" s="3" t="s">
        <v>171</v>
      </c>
      <c r="G70" s="2"/>
    </row>
    <row r="71" spans="1:7" ht="15">
      <c r="A71" s="115">
        <v>45911</v>
      </c>
      <c r="B71" s="5" t="s">
        <v>206</v>
      </c>
      <c r="C71" s="7"/>
      <c r="D71" s="5" t="s">
        <v>207</v>
      </c>
      <c r="E71" s="4">
        <v>2</v>
      </c>
      <c r="F71" s="3" t="s">
        <v>171</v>
      </c>
      <c r="G71" s="2"/>
    </row>
    <row r="72" spans="1:7">
      <c r="A72" s="114"/>
      <c r="C72" s="6"/>
      <c r="E72" s="2"/>
      <c r="G72" s="2"/>
    </row>
    <row r="73" spans="1:7">
      <c r="G73" s="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147-F70F-A447-B597-E46EF41C3A3C}">
  <sheetPr>
    <pageSetUpPr fitToPage="1"/>
  </sheetPr>
  <dimension ref="A1:N175"/>
  <sheetViews>
    <sheetView zoomScale="50" zoomScaleNormal="50" zoomScalePageLayoutView="10" workbookViewId="0">
      <selection activeCell="C42" sqref="C42"/>
    </sheetView>
  </sheetViews>
  <sheetFormatPr defaultColWidth="7.44140625" defaultRowHeight="32.1"/>
  <cols>
    <col min="1" max="1" width="17.5546875" style="12" customWidth="1"/>
    <col min="2" max="2" width="18.109375" style="12" customWidth="1"/>
    <col min="3" max="3" width="45" style="11" customWidth="1"/>
    <col min="4" max="4" width="126.109375" style="10" customWidth="1"/>
    <col min="5" max="5" width="13.33203125" style="2" customWidth="1"/>
    <col min="6" max="9" width="20.33203125" style="9" hidden="1" customWidth="1"/>
    <col min="10" max="10" width="20.33203125" style="9" customWidth="1"/>
    <col min="11" max="11" width="18.109375" style="9" customWidth="1"/>
    <col min="12" max="12" width="15.33203125" style="2" customWidth="1"/>
    <col min="13" max="13" width="131.5546875" style="8" customWidth="1"/>
    <col min="14" max="16384" width="7.44140625" style="1"/>
  </cols>
  <sheetData>
    <row r="1" spans="1:14" s="81" customFormat="1" ht="30" customHeight="1">
      <c r="A1" s="90" t="s">
        <v>208</v>
      </c>
      <c r="B1" s="89" t="s">
        <v>209</v>
      </c>
      <c r="C1" s="88" t="s">
        <v>71</v>
      </c>
      <c r="D1" s="87" t="s">
        <v>73</v>
      </c>
      <c r="E1" s="86" t="s">
        <v>74</v>
      </c>
      <c r="F1" s="85">
        <v>45999</v>
      </c>
      <c r="G1" s="85">
        <v>46000</v>
      </c>
      <c r="H1" s="85">
        <v>46001</v>
      </c>
      <c r="I1" s="85">
        <v>46002</v>
      </c>
      <c r="J1" s="85">
        <v>46003</v>
      </c>
      <c r="K1" s="84" t="s">
        <v>210</v>
      </c>
      <c r="L1" s="83" t="s">
        <v>211</v>
      </c>
      <c r="M1" s="82" t="s">
        <v>7</v>
      </c>
    </row>
    <row r="2" spans="1:14" ht="30" customHeight="1">
      <c r="A2" s="50">
        <v>0</v>
      </c>
      <c r="B2" s="53" t="s">
        <v>212</v>
      </c>
      <c r="C2" s="48" t="s">
        <v>213</v>
      </c>
      <c r="D2" s="47" t="s">
        <v>214</v>
      </c>
      <c r="E2" s="36">
        <v>3</v>
      </c>
      <c r="F2" s="19"/>
      <c r="G2" s="19"/>
      <c r="H2" s="19"/>
      <c r="I2" s="19"/>
      <c r="J2" s="19"/>
      <c r="K2" s="19"/>
      <c r="L2" s="36">
        <f t="shared" ref="L2:L33" si="0">E2-F2-G2-H2-I2-J2+K2</f>
        <v>3</v>
      </c>
      <c r="M2" s="24"/>
    </row>
    <row r="3" spans="1:14" ht="30" customHeight="1">
      <c r="A3" s="50">
        <v>1</v>
      </c>
      <c r="B3" s="53" t="s">
        <v>212</v>
      </c>
      <c r="C3" s="48" t="s">
        <v>215</v>
      </c>
      <c r="D3" s="47" t="s">
        <v>216</v>
      </c>
      <c r="E3" s="36">
        <v>1</v>
      </c>
      <c r="F3" s="19"/>
      <c r="G3" s="19"/>
      <c r="H3" s="19"/>
      <c r="I3" s="19"/>
      <c r="J3" s="19"/>
      <c r="K3" s="19"/>
      <c r="L3" s="36">
        <f t="shared" si="0"/>
        <v>1</v>
      </c>
      <c r="M3" s="24"/>
    </row>
    <row r="4" spans="1:14" ht="30" customHeight="1">
      <c r="A4" s="50">
        <v>2</v>
      </c>
      <c r="B4" s="53" t="s">
        <v>217</v>
      </c>
      <c r="C4" s="48" t="s">
        <v>218</v>
      </c>
      <c r="D4" s="54" t="s">
        <v>219</v>
      </c>
      <c r="E4" s="36">
        <v>12</v>
      </c>
      <c r="F4" s="19"/>
      <c r="G4" s="19"/>
      <c r="H4" s="19"/>
      <c r="I4" s="19"/>
      <c r="J4" s="19">
        <v>1</v>
      </c>
      <c r="K4" s="19">
        <v>5</v>
      </c>
      <c r="L4" s="36">
        <f t="shared" si="0"/>
        <v>16</v>
      </c>
      <c r="M4" s="24"/>
    </row>
    <row r="5" spans="1:14" ht="31.35" customHeight="1">
      <c r="A5" s="33">
        <v>3</v>
      </c>
      <c r="B5" s="53" t="s">
        <v>220</v>
      </c>
      <c r="C5" s="39" t="s">
        <v>198</v>
      </c>
      <c r="D5" s="38" t="s">
        <v>199</v>
      </c>
      <c r="E5" s="36">
        <v>37</v>
      </c>
      <c r="F5" s="19">
        <v>2</v>
      </c>
      <c r="G5" s="19">
        <v>2</v>
      </c>
      <c r="H5" s="19">
        <v>3</v>
      </c>
      <c r="I5" s="19"/>
      <c r="J5" s="19">
        <v>1</v>
      </c>
      <c r="K5" s="19">
        <v>144</v>
      </c>
      <c r="L5" s="36">
        <f t="shared" si="0"/>
        <v>173</v>
      </c>
      <c r="M5" s="24"/>
    </row>
    <row r="6" spans="1:14" ht="30" customHeight="1">
      <c r="A6" s="33">
        <v>4</v>
      </c>
      <c r="B6" s="53" t="s">
        <v>221</v>
      </c>
      <c r="C6" s="39" t="s">
        <v>200</v>
      </c>
      <c r="D6" s="38" t="s">
        <v>201</v>
      </c>
      <c r="E6" s="36">
        <v>23</v>
      </c>
      <c r="F6" s="19"/>
      <c r="G6" s="19">
        <v>1</v>
      </c>
      <c r="H6" s="19">
        <v>7</v>
      </c>
      <c r="I6" s="19"/>
      <c r="J6" s="19">
        <v>3</v>
      </c>
      <c r="K6" s="19">
        <v>145</v>
      </c>
      <c r="L6" s="36">
        <f t="shared" si="0"/>
        <v>157</v>
      </c>
      <c r="M6" s="24" t="s">
        <v>222</v>
      </c>
    </row>
    <row r="7" spans="1:14" ht="30" customHeight="1">
      <c r="A7" s="33">
        <v>5</v>
      </c>
      <c r="B7" s="53" t="s">
        <v>223</v>
      </c>
      <c r="C7" s="39" t="s">
        <v>224</v>
      </c>
      <c r="D7" s="45" t="s">
        <v>225</v>
      </c>
      <c r="E7" s="36">
        <v>14</v>
      </c>
      <c r="F7" s="19"/>
      <c r="G7" s="19"/>
      <c r="H7" s="19"/>
      <c r="I7" s="19"/>
      <c r="J7" s="19">
        <v>2</v>
      </c>
      <c r="K7" s="19">
        <v>45</v>
      </c>
      <c r="L7" s="36">
        <f t="shared" si="0"/>
        <v>57</v>
      </c>
      <c r="M7" s="24"/>
    </row>
    <row r="8" spans="1:14" ht="30" customHeight="1">
      <c r="A8" s="33">
        <v>6</v>
      </c>
      <c r="B8" s="53" t="s">
        <v>226</v>
      </c>
      <c r="C8" s="39" t="s">
        <v>227</v>
      </c>
      <c r="D8" s="38" t="s">
        <v>228</v>
      </c>
      <c r="E8" s="36">
        <v>9</v>
      </c>
      <c r="F8" s="19"/>
      <c r="G8" s="19"/>
      <c r="H8" s="19"/>
      <c r="I8" s="19"/>
      <c r="J8" s="19"/>
      <c r="K8" s="19">
        <v>15</v>
      </c>
      <c r="L8" s="36">
        <f t="shared" si="0"/>
        <v>24</v>
      </c>
      <c r="M8" s="24"/>
    </row>
    <row r="9" spans="1:14" ht="30" customHeight="1">
      <c r="A9" s="33">
        <v>7</v>
      </c>
      <c r="B9" s="53" t="s">
        <v>229</v>
      </c>
      <c r="C9" s="39" t="s">
        <v>230</v>
      </c>
      <c r="D9" s="38" t="s">
        <v>231</v>
      </c>
      <c r="E9" s="36">
        <v>32</v>
      </c>
      <c r="F9" s="19"/>
      <c r="G9" s="19">
        <v>1</v>
      </c>
      <c r="H9" s="19">
        <v>4</v>
      </c>
      <c r="I9" s="19"/>
      <c r="J9" s="19">
        <v>1</v>
      </c>
      <c r="K9" s="19">
        <v>145</v>
      </c>
      <c r="L9" s="36">
        <f t="shared" si="0"/>
        <v>171</v>
      </c>
      <c r="M9" s="24" t="s">
        <v>222</v>
      </c>
    </row>
    <row r="10" spans="1:14" ht="30" customHeight="1">
      <c r="A10" s="33">
        <v>8</v>
      </c>
      <c r="B10" s="53" t="s">
        <v>232</v>
      </c>
      <c r="C10" s="39" t="s">
        <v>233</v>
      </c>
      <c r="D10" s="38" t="s">
        <v>234</v>
      </c>
      <c r="E10" s="36">
        <v>4</v>
      </c>
      <c r="F10" s="19"/>
      <c r="G10" s="19"/>
      <c r="H10" s="19"/>
      <c r="I10" s="19"/>
      <c r="J10" s="19">
        <v>1</v>
      </c>
      <c r="K10" s="19">
        <v>10</v>
      </c>
      <c r="L10" s="36">
        <f t="shared" si="0"/>
        <v>13</v>
      </c>
      <c r="M10" s="24"/>
    </row>
    <row r="11" spans="1:14" ht="28.7" customHeight="1">
      <c r="A11" s="33">
        <v>9</v>
      </c>
      <c r="B11" s="53" t="s">
        <v>235</v>
      </c>
      <c r="C11" s="39" t="s">
        <v>236</v>
      </c>
      <c r="D11" s="38" t="s">
        <v>237</v>
      </c>
      <c r="E11" s="36">
        <v>1</v>
      </c>
      <c r="F11" s="19"/>
      <c r="G11" s="19">
        <v>1</v>
      </c>
      <c r="H11" s="19">
        <v>2</v>
      </c>
      <c r="I11" s="19"/>
      <c r="J11" s="19">
        <v>1</v>
      </c>
      <c r="K11" s="19">
        <v>9</v>
      </c>
      <c r="L11" s="36">
        <f t="shared" si="0"/>
        <v>6</v>
      </c>
      <c r="M11" s="24" t="s">
        <v>238</v>
      </c>
    </row>
    <row r="12" spans="1:14" ht="30" customHeight="1">
      <c r="A12" s="80">
        <v>10</v>
      </c>
      <c r="B12" s="53" t="s">
        <v>239</v>
      </c>
      <c r="C12" s="39" t="s">
        <v>240</v>
      </c>
      <c r="D12" s="38" t="s">
        <v>203</v>
      </c>
      <c r="E12" s="36">
        <v>47</v>
      </c>
      <c r="F12" s="19"/>
      <c r="G12" s="19">
        <v>4</v>
      </c>
      <c r="H12" s="19">
        <v>2</v>
      </c>
      <c r="I12" s="19"/>
      <c r="J12" s="19">
        <v>1</v>
      </c>
      <c r="K12" s="19">
        <v>145</v>
      </c>
      <c r="L12" s="36">
        <f t="shared" si="0"/>
        <v>185</v>
      </c>
      <c r="M12" s="24" t="s">
        <v>241</v>
      </c>
    </row>
    <row r="13" spans="1:14" ht="30" customHeight="1">
      <c r="A13" s="33">
        <v>11</v>
      </c>
      <c r="B13" s="53" t="s">
        <v>242</v>
      </c>
      <c r="C13" s="39" t="s">
        <v>240</v>
      </c>
      <c r="D13" s="79" t="s">
        <v>243</v>
      </c>
      <c r="E13" s="36">
        <v>42</v>
      </c>
      <c r="F13" s="19"/>
      <c r="G13" s="19"/>
      <c r="H13" s="19">
        <v>6</v>
      </c>
      <c r="I13" s="19"/>
      <c r="J13" s="19">
        <v>1</v>
      </c>
      <c r="K13" s="19">
        <v>108</v>
      </c>
      <c r="L13" s="36">
        <f t="shared" si="0"/>
        <v>143</v>
      </c>
      <c r="M13" s="24"/>
      <c r="N13" s="1">
        <v>36</v>
      </c>
    </row>
    <row r="14" spans="1:14" ht="30" customHeight="1">
      <c r="A14" s="33">
        <v>12</v>
      </c>
      <c r="B14" s="53" t="s">
        <v>244</v>
      </c>
      <c r="C14" s="39" t="s">
        <v>245</v>
      </c>
      <c r="D14" s="54" t="s">
        <v>246</v>
      </c>
      <c r="E14" s="36">
        <v>37</v>
      </c>
      <c r="F14" s="19"/>
      <c r="G14" s="19">
        <v>12</v>
      </c>
      <c r="H14" s="19"/>
      <c r="I14" s="19"/>
      <c r="J14" s="19">
        <v>1</v>
      </c>
      <c r="K14" s="19">
        <v>109</v>
      </c>
      <c r="L14" s="36">
        <f t="shared" si="0"/>
        <v>133</v>
      </c>
      <c r="M14" s="24" t="s">
        <v>247</v>
      </c>
      <c r="N14" s="1">
        <v>25</v>
      </c>
    </row>
    <row r="15" spans="1:14" ht="30" customHeight="1">
      <c r="A15" s="33">
        <v>13</v>
      </c>
      <c r="B15" s="32" t="s">
        <v>248</v>
      </c>
      <c r="C15" s="78" t="s">
        <v>204</v>
      </c>
      <c r="D15" s="76" t="s">
        <v>205</v>
      </c>
      <c r="E15" s="36">
        <v>11</v>
      </c>
      <c r="F15" s="19"/>
      <c r="G15" s="19"/>
      <c r="H15" s="19"/>
      <c r="I15" s="19"/>
      <c r="J15" s="19"/>
      <c r="K15" s="19"/>
      <c r="L15" s="36">
        <f t="shared" si="0"/>
        <v>11</v>
      </c>
      <c r="M15" s="24"/>
    </row>
    <row r="16" spans="1:14" ht="45.95">
      <c r="A16" s="33">
        <v>14</v>
      </c>
      <c r="B16" s="32" t="s">
        <v>249</v>
      </c>
      <c r="C16" s="45" t="s">
        <v>250</v>
      </c>
      <c r="D16" s="38" t="s">
        <v>251</v>
      </c>
      <c r="E16" s="36">
        <v>8</v>
      </c>
      <c r="F16" s="19"/>
      <c r="G16" s="19"/>
      <c r="H16" s="19"/>
      <c r="I16" s="19"/>
      <c r="J16" s="19"/>
      <c r="K16" s="19"/>
      <c r="L16" s="36">
        <f t="shared" si="0"/>
        <v>8</v>
      </c>
      <c r="M16" s="24"/>
    </row>
    <row r="17" spans="1:13" ht="30" customHeight="1">
      <c r="A17" s="33">
        <v>15</v>
      </c>
      <c r="B17" s="32" t="s">
        <v>252</v>
      </c>
      <c r="C17" s="39" t="s">
        <v>253</v>
      </c>
      <c r="D17" s="38" t="s">
        <v>254</v>
      </c>
      <c r="E17" s="36">
        <v>7</v>
      </c>
      <c r="F17" s="19"/>
      <c r="G17" s="19"/>
      <c r="H17" s="19"/>
      <c r="I17" s="19"/>
      <c r="J17" s="19"/>
      <c r="K17" s="19"/>
      <c r="L17" s="36">
        <f t="shared" si="0"/>
        <v>7</v>
      </c>
      <c r="M17" s="24"/>
    </row>
    <row r="18" spans="1:13" ht="30" customHeight="1">
      <c r="A18" s="77" t="s">
        <v>255</v>
      </c>
      <c r="B18" s="32" t="s">
        <v>252</v>
      </c>
      <c r="C18" s="39" t="s">
        <v>256</v>
      </c>
      <c r="D18" s="38" t="s">
        <v>257</v>
      </c>
      <c r="E18" s="36">
        <v>0</v>
      </c>
      <c r="F18" s="19"/>
      <c r="G18" s="19"/>
      <c r="H18" s="19"/>
      <c r="I18" s="19"/>
      <c r="J18" s="19"/>
      <c r="K18" s="19"/>
      <c r="L18" s="36">
        <f t="shared" si="0"/>
        <v>0</v>
      </c>
      <c r="M18" s="24"/>
    </row>
    <row r="19" spans="1:13" ht="30" customHeight="1">
      <c r="A19" s="33">
        <v>16</v>
      </c>
      <c r="B19" s="32" t="s">
        <v>258</v>
      </c>
      <c r="C19" s="39" t="s">
        <v>259</v>
      </c>
      <c r="D19" s="76" t="s">
        <v>260</v>
      </c>
      <c r="E19" s="36">
        <v>10</v>
      </c>
      <c r="F19" s="19"/>
      <c r="G19" s="19"/>
      <c r="H19" s="19"/>
      <c r="I19" s="19"/>
      <c r="J19" s="19"/>
      <c r="K19" s="19">
        <v>10</v>
      </c>
      <c r="L19" s="36">
        <f t="shared" si="0"/>
        <v>20</v>
      </c>
      <c r="M19" s="24"/>
    </row>
    <row r="20" spans="1:13" ht="30" customHeight="1">
      <c r="A20" s="33">
        <v>17</v>
      </c>
      <c r="B20" s="32"/>
      <c r="C20" s="39" t="s">
        <v>261</v>
      </c>
      <c r="D20" s="38" t="s">
        <v>262</v>
      </c>
      <c r="E20" s="36">
        <v>203</v>
      </c>
      <c r="F20" s="19"/>
      <c r="G20" s="19"/>
      <c r="H20" s="19">
        <v>35</v>
      </c>
      <c r="I20" s="19"/>
      <c r="J20" s="19">
        <v>10</v>
      </c>
      <c r="K20" s="19">
        <v>180</v>
      </c>
      <c r="L20" s="40">
        <f t="shared" si="0"/>
        <v>338</v>
      </c>
      <c r="M20" s="17" t="s">
        <v>263</v>
      </c>
    </row>
    <row r="21" spans="1:13" ht="30" customHeight="1">
      <c r="A21" s="33">
        <v>18</v>
      </c>
      <c r="B21" s="32"/>
      <c r="C21" s="75" t="s">
        <v>264</v>
      </c>
      <c r="D21" s="38" t="s">
        <v>265</v>
      </c>
      <c r="E21" s="36">
        <v>312</v>
      </c>
      <c r="F21" s="19"/>
      <c r="G21" s="19"/>
      <c r="H21" s="19">
        <v>70</v>
      </c>
      <c r="I21" s="19"/>
      <c r="J21" s="19">
        <v>12</v>
      </c>
      <c r="K21" s="19">
        <v>360</v>
      </c>
      <c r="L21" s="40">
        <f t="shared" si="0"/>
        <v>590</v>
      </c>
      <c r="M21" s="17" t="s">
        <v>266</v>
      </c>
    </row>
    <row r="22" spans="1:13" ht="30" customHeight="1">
      <c r="A22" s="33">
        <v>19</v>
      </c>
      <c r="B22" s="32" t="s">
        <v>267</v>
      </c>
      <c r="C22" s="39" t="s">
        <v>268</v>
      </c>
      <c r="D22" s="38" t="s">
        <v>269</v>
      </c>
      <c r="E22" s="36">
        <v>0</v>
      </c>
      <c r="F22" s="19"/>
      <c r="G22" s="19"/>
      <c r="H22" s="19"/>
      <c r="I22" s="19"/>
      <c r="J22" s="19"/>
      <c r="K22" s="19">
        <v>8</v>
      </c>
      <c r="L22" s="36">
        <f t="shared" si="0"/>
        <v>8</v>
      </c>
      <c r="M22" s="24" t="s">
        <v>270</v>
      </c>
    </row>
    <row r="23" spans="1:13" ht="30" customHeight="1">
      <c r="A23" s="33">
        <v>20</v>
      </c>
      <c r="B23" s="32" t="s">
        <v>271</v>
      </c>
      <c r="C23" s="39" t="s">
        <v>272</v>
      </c>
      <c r="D23" s="38" t="s">
        <v>273</v>
      </c>
      <c r="E23" s="36">
        <v>32</v>
      </c>
      <c r="F23" s="19"/>
      <c r="G23" s="19"/>
      <c r="H23" s="19"/>
      <c r="I23" s="19"/>
      <c r="J23" s="19"/>
      <c r="K23" s="19"/>
      <c r="L23" s="36">
        <f t="shared" si="0"/>
        <v>32</v>
      </c>
      <c r="M23" s="24"/>
    </row>
    <row r="24" spans="1:13" ht="30" customHeight="1">
      <c r="A24" s="33">
        <v>21</v>
      </c>
      <c r="B24" s="32" t="s">
        <v>274</v>
      </c>
      <c r="C24" s="39" t="s">
        <v>275</v>
      </c>
      <c r="D24" s="38" t="s">
        <v>276</v>
      </c>
      <c r="E24" s="36">
        <v>1</v>
      </c>
      <c r="F24" s="19"/>
      <c r="G24" s="19"/>
      <c r="H24" s="19"/>
      <c r="I24" s="19"/>
      <c r="J24" s="19"/>
      <c r="K24" s="19"/>
      <c r="L24" s="36">
        <f t="shared" si="0"/>
        <v>1</v>
      </c>
      <c r="M24" s="24"/>
    </row>
    <row r="25" spans="1:13" ht="30" customHeight="1">
      <c r="A25" s="74" t="s">
        <v>277</v>
      </c>
      <c r="B25" s="73"/>
      <c r="C25" s="39" t="s">
        <v>278</v>
      </c>
      <c r="D25" s="38" t="s">
        <v>279</v>
      </c>
      <c r="E25" s="36">
        <v>1</v>
      </c>
      <c r="F25" s="19"/>
      <c r="G25" s="19"/>
      <c r="H25" s="19"/>
      <c r="I25" s="19"/>
      <c r="J25" s="19"/>
      <c r="K25" s="19"/>
      <c r="L25" s="36">
        <f t="shared" si="0"/>
        <v>1</v>
      </c>
      <c r="M25" s="24"/>
    </row>
    <row r="26" spans="1:13" ht="30" customHeight="1">
      <c r="A26" s="74" t="s">
        <v>280</v>
      </c>
      <c r="B26" s="73"/>
      <c r="C26" s="39" t="s">
        <v>281</v>
      </c>
      <c r="D26" s="38" t="s">
        <v>282</v>
      </c>
      <c r="E26" s="36">
        <v>1</v>
      </c>
      <c r="F26" s="19"/>
      <c r="G26" s="19"/>
      <c r="H26" s="19"/>
      <c r="I26" s="19"/>
      <c r="J26" s="19"/>
      <c r="K26" s="19"/>
      <c r="L26" s="36">
        <f t="shared" si="0"/>
        <v>1</v>
      </c>
      <c r="M26" s="24"/>
    </row>
    <row r="27" spans="1:13" ht="28.7" customHeight="1">
      <c r="A27" s="72">
        <v>23</v>
      </c>
      <c r="B27" s="71" t="s">
        <v>212</v>
      </c>
      <c r="C27" s="70" t="s">
        <v>283</v>
      </c>
      <c r="D27" s="69" t="s">
        <v>284</v>
      </c>
      <c r="E27" s="36">
        <v>0</v>
      </c>
      <c r="F27" s="19"/>
      <c r="G27" s="19"/>
      <c r="H27" s="19"/>
      <c r="I27" s="19"/>
      <c r="J27" s="19"/>
      <c r="K27" s="19"/>
      <c r="L27" s="36">
        <f t="shared" si="0"/>
        <v>0</v>
      </c>
      <c r="M27" s="24" t="s">
        <v>285</v>
      </c>
    </row>
    <row r="28" spans="1:13">
      <c r="A28" s="33">
        <v>25</v>
      </c>
      <c r="B28" s="32"/>
      <c r="C28" s="39" t="s">
        <v>286</v>
      </c>
      <c r="D28" s="38" t="s">
        <v>287</v>
      </c>
      <c r="E28" s="36">
        <v>0</v>
      </c>
      <c r="F28" s="19"/>
      <c r="G28" s="19"/>
      <c r="H28" s="19"/>
      <c r="I28" s="19"/>
      <c r="J28" s="19"/>
      <c r="K28" s="19"/>
      <c r="L28" s="36">
        <f t="shared" si="0"/>
        <v>0</v>
      </c>
      <c r="M28" s="24"/>
    </row>
    <row r="29" spans="1:13" ht="31.35" customHeight="1">
      <c r="A29" s="33" t="s">
        <v>288</v>
      </c>
      <c r="B29" s="32"/>
      <c r="C29" s="68" t="s">
        <v>289</v>
      </c>
      <c r="D29" s="38" t="s">
        <v>287</v>
      </c>
      <c r="E29" s="36">
        <v>2</v>
      </c>
      <c r="F29" s="19"/>
      <c r="G29" s="19"/>
      <c r="H29" s="19"/>
      <c r="I29" s="19"/>
      <c r="J29" s="19"/>
      <c r="K29" s="19"/>
      <c r="L29" s="36">
        <f t="shared" si="0"/>
        <v>2</v>
      </c>
      <c r="M29" s="24" t="s">
        <v>290</v>
      </c>
    </row>
    <row r="30" spans="1:13" ht="31.35" customHeight="1">
      <c r="A30" s="33" t="s">
        <v>288</v>
      </c>
      <c r="B30" s="32"/>
      <c r="C30" s="116" t="s">
        <v>291</v>
      </c>
      <c r="D30" s="38" t="s">
        <v>292</v>
      </c>
      <c r="E30" s="36">
        <v>78</v>
      </c>
      <c r="F30" s="19"/>
      <c r="G30" s="19"/>
      <c r="H30" s="19"/>
      <c r="I30" s="19"/>
      <c r="J30" s="19"/>
      <c r="K30" s="19"/>
      <c r="L30" s="36">
        <f t="shared" si="0"/>
        <v>78</v>
      </c>
      <c r="M30" s="24"/>
    </row>
    <row r="31" spans="1:13" ht="30" customHeight="1">
      <c r="A31" s="33">
        <v>26</v>
      </c>
      <c r="B31" s="67" t="s">
        <v>293</v>
      </c>
      <c r="C31" s="39" t="s">
        <v>294</v>
      </c>
      <c r="D31" s="45" t="s">
        <v>295</v>
      </c>
      <c r="E31" s="36">
        <v>0</v>
      </c>
      <c r="F31" s="19"/>
      <c r="G31" s="19"/>
      <c r="H31" s="19"/>
      <c r="I31" s="19"/>
      <c r="J31" s="19"/>
      <c r="K31" s="19">
        <v>1</v>
      </c>
      <c r="L31" s="36">
        <f t="shared" si="0"/>
        <v>1</v>
      </c>
      <c r="M31" s="24"/>
    </row>
    <row r="32" spans="1:13" ht="30" customHeight="1">
      <c r="A32" s="33">
        <v>27</v>
      </c>
      <c r="B32" s="32" t="s">
        <v>296</v>
      </c>
      <c r="C32" s="39" t="s">
        <v>297</v>
      </c>
      <c r="D32" s="38" t="s">
        <v>298</v>
      </c>
      <c r="E32" s="36">
        <v>0</v>
      </c>
      <c r="F32" s="19"/>
      <c r="G32" s="19"/>
      <c r="H32" s="19"/>
      <c r="I32" s="19"/>
      <c r="J32" s="19"/>
      <c r="K32" s="19">
        <v>3</v>
      </c>
      <c r="L32" s="36">
        <f t="shared" si="0"/>
        <v>3</v>
      </c>
      <c r="M32" s="24"/>
    </row>
    <row r="33" spans="1:13" ht="30" customHeight="1">
      <c r="A33" s="33">
        <v>28</v>
      </c>
      <c r="B33" s="32" t="s">
        <v>299</v>
      </c>
      <c r="C33" s="39" t="s">
        <v>300</v>
      </c>
      <c r="D33" s="38" t="s">
        <v>301</v>
      </c>
      <c r="E33" s="36">
        <v>0</v>
      </c>
      <c r="F33" s="19"/>
      <c r="G33" s="19"/>
      <c r="H33" s="19"/>
      <c r="I33" s="19"/>
      <c r="J33" s="19"/>
      <c r="K33" s="19">
        <v>11</v>
      </c>
      <c r="L33" s="36">
        <f t="shared" si="0"/>
        <v>11</v>
      </c>
      <c r="M33" s="24"/>
    </row>
    <row r="34" spans="1:13" ht="33.6" customHeight="1">
      <c r="A34" s="33">
        <v>30</v>
      </c>
      <c r="B34" s="32" t="s">
        <v>302</v>
      </c>
      <c r="C34" s="39" t="s">
        <v>303</v>
      </c>
      <c r="D34" s="38" t="s">
        <v>304</v>
      </c>
      <c r="E34" s="36">
        <v>21</v>
      </c>
      <c r="F34" s="19"/>
      <c r="G34" s="19"/>
      <c r="H34" s="19"/>
      <c r="I34" s="19"/>
      <c r="J34" s="19"/>
      <c r="K34" s="19">
        <v>15</v>
      </c>
      <c r="L34" s="36">
        <f t="shared" ref="L34:L65" si="1">E34-F34-G34-H34-I34-J34+K34</f>
        <v>36</v>
      </c>
      <c r="M34" s="24"/>
    </row>
    <row r="35" spans="1:13" s="16" customFormat="1" ht="30" customHeight="1">
      <c r="A35" s="33">
        <v>31</v>
      </c>
      <c r="B35" s="32" t="s">
        <v>305</v>
      </c>
      <c r="C35" s="39" t="s">
        <v>306</v>
      </c>
      <c r="D35" s="38" t="s">
        <v>307</v>
      </c>
      <c r="E35" s="36">
        <v>5</v>
      </c>
      <c r="F35" s="19">
        <v>1</v>
      </c>
      <c r="G35" s="19"/>
      <c r="H35" s="19">
        <v>1</v>
      </c>
      <c r="I35" s="19"/>
      <c r="J35" s="19">
        <v>1</v>
      </c>
      <c r="K35" s="19">
        <v>9</v>
      </c>
      <c r="L35" s="36">
        <f t="shared" si="1"/>
        <v>11</v>
      </c>
      <c r="M35" s="24"/>
    </row>
    <row r="36" spans="1:13">
      <c r="A36" s="50">
        <v>32</v>
      </c>
      <c r="B36" s="53" t="s">
        <v>308</v>
      </c>
      <c r="C36" s="47" t="s">
        <v>309</v>
      </c>
      <c r="D36" s="54" t="s">
        <v>310</v>
      </c>
      <c r="E36" s="36">
        <v>9</v>
      </c>
      <c r="F36" s="19"/>
      <c r="G36" s="19"/>
      <c r="H36" s="19"/>
      <c r="I36" s="19"/>
      <c r="J36" s="19"/>
      <c r="K36" s="19">
        <v>9</v>
      </c>
      <c r="L36" s="36">
        <f t="shared" si="1"/>
        <v>18</v>
      </c>
      <c r="M36" s="24"/>
    </row>
    <row r="37" spans="1:13" ht="30" customHeight="1">
      <c r="A37" s="50">
        <v>33</v>
      </c>
      <c r="B37" s="53" t="s">
        <v>311</v>
      </c>
      <c r="C37" s="48" t="s">
        <v>312</v>
      </c>
      <c r="D37" s="54" t="s">
        <v>313</v>
      </c>
      <c r="E37" s="36">
        <v>2</v>
      </c>
      <c r="F37" s="19"/>
      <c r="G37" s="19"/>
      <c r="H37" s="19"/>
      <c r="I37" s="19"/>
      <c r="J37" s="19"/>
      <c r="K37" s="19">
        <v>3</v>
      </c>
      <c r="L37" s="36">
        <f t="shared" si="1"/>
        <v>5</v>
      </c>
      <c r="M37" s="24"/>
    </row>
    <row r="38" spans="1:13">
      <c r="A38" s="50">
        <v>34</v>
      </c>
      <c r="B38" s="53" t="s">
        <v>314</v>
      </c>
      <c r="C38" s="48" t="s">
        <v>315</v>
      </c>
      <c r="D38" s="54" t="s">
        <v>316</v>
      </c>
      <c r="E38" s="36">
        <v>2</v>
      </c>
      <c r="F38" s="19"/>
      <c r="G38" s="19"/>
      <c r="H38" s="19"/>
      <c r="I38" s="19"/>
      <c r="J38" s="19"/>
      <c r="K38" s="19"/>
      <c r="L38" s="36">
        <f t="shared" si="1"/>
        <v>2</v>
      </c>
      <c r="M38" s="24"/>
    </row>
    <row r="39" spans="1:13">
      <c r="A39" s="50">
        <v>35</v>
      </c>
      <c r="B39" s="53" t="s">
        <v>317</v>
      </c>
      <c r="C39" s="47" t="s">
        <v>318</v>
      </c>
      <c r="D39" s="54" t="s">
        <v>181</v>
      </c>
      <c r="E39" s="36">
        <v>11</v>
      </c>
      <c r="F39" s="19">
        <v>1</v>
      </c>
      <c r="G39" s="19"/>
      <c r="H39" s="19"/>
      <c r="I39" s="19"/>
      <c r="J39" s="19"/>
      <c r="K39" s="19">
        <v>15</v>
      </c>
      <c r="L39" s="36">
        <f t="shared" si="1"/>
        <v>25</v>
      </c>
      <c r="M39" s="24"/>
    </row>
    <row r="40" spans="1:13" ht="45.95">
      <c r="A40" s="64">
        <v>36</v>
      </c>
      <c r="B40" s="63"/>
      <c r="C40" s="62" t="s">
        <v>319</v>
      </c>
      <c r="D40" s="61" t="s">
        <v>320</v>
      </c>
      <c r="E40" s="36">
        <v>0</v>
      </c>
      <c r="F40" s="19"/>
      <c r="G40" s="19"/>
      <c r="H40" s="19"/>
      <c r="I40" s="19"/>
      <c r="J40" s="19"/>
      <c r="K40" s="19"/>
      <c r="L40" s="36">
        <f t="shared" si="1"/>
        <v>0</v>
      </c>
      <c r="M40" s="24" t="s">
        <v>285</v>
      </c>
    </row>
    <row r="41" spans="1:13" ht="30" customHeight="1">
      <c r="A41" s="33">
        <v>37</v>
      </c>
      <c r="B41" s="32" t="s">
        <v>321</v>
      </c>
      <c r="C41" s="39" t="s">
        <v>322</v>
      </c>
      <c r="D41" s="38" t="s">
        <v>323</v>
      </c>
      <c r="E41" s="36">
        <v>5</v>
      </c>
      <c r="F41" s="19"/>
      <c r="G41" s="19"/>
      <c r="H41" s="19"/>
      <c r="I41" s="19"/>
      <c r="J41" s="19"/>
      <c r="K41" s="19">
        <v>3</v>
      </c>
      <c r="L41" s="36">
        <f t="shared" si="1"/>
        <v>8</v>
      </c>
      <c r="M41" s="24"/>
    </row>
    <row r="42" spans="1:13" ht="30" customHeight="1">
      <c r="A42" s="66">
        <v>39</v>
      </c>
      <c r="B42" s="65" t="s">
        <v>324</v>
      </c>
      <c r="C42" s="48" t="s">
        <v>325</v>
      </c>
      <c r="D42" s="54" t="s">
        <v>326</v>
      </c>
      <c r="E42" s="36">
        <v>3</v>
      </c>
      <c r="F42" s="19"/>
      <c r="G42" s="19"/>
      <c r="H42" s="19"/>
      <c r="I42" s="19"/>
      <c r="J42" s="19"/>
      <c r="K42" s="19">
        <v>10</v>
      </c>
      <c r="L42" s="36">
        <f t="shared" si="1"/>
        <v>13</v>
      </c>
      <c r="M42" s="24"/>
    </row>
    <row r="43" spans="1:13" ht="30" customHeight="1">
      <c r="A43" s="50">
        <v>40</v>
      </c>
      <c r="B43" s="53" t="s">
        <v>324</v>
      </c>
      <c r="C43" s="48" t="s">
        <v>327</v>
      </c>
      <c r="D43" s="54" t="s">
        <v>328</v>
      </c>
      <c r="E43" s="36">
        <v>6</v>
      </c>
      <c r="F43" s="19"/>
      <c r="G43" s="19"/>
      <c r="H43" s="19"/>
      <c r="I43" s="19"/>
      <c r="J43" s="19"/>
      <c r="K43" s="19"/>
      <c r="L43" s="36">
        <f t="shared" si="1"/>
        <v>6</v>
      </c>
      <c r="M43" s="24"/>
    </row>
    <row r="44" spans="1:13" ht="30" customHeight="1">
      <c r="A44" s="64">
        <v>41</v>
      </c>
      <c r="B44" s="63" t="s">
        <v>329</v>
      </c>
      <c r="C44" s="62" t="s">
        <v>330</v>
      </c>
      <c r="D44" s="61" t="s">
        <v>331</v>
      </c>
      <c r="E44" s="36">
        <v>0</v>
      </c>
      <c r="F44" s="19"/>
      <c r="G44" s="19"/>
      <c r="H44" s="19"/>
      <c r="I44" s="19"/>
      <c r="J44" s="19"/>
      <c r="K44" s="19"/>
      <c r="L44" s="36">
        <f t="shared" si="1"/>
        <v>0</v>
      </c>
      <c r="M44" s="24" t="s">
        <v>285</v>
      </c>
    </row>
    <row r="45" spans="1:13" ht="30" customHeight="1">
      <c r="A45" s="64">
        <v>42</v>
      </c>
      <c r="B45" s="63" t="s">
        <v>329</v>
      </c>
      <c r="C45" s="62" t="s">
        <v>332</v>
      </c>
      <c r="D45" s="61" t="s">
        <v>333</v>
      </c>
      <c r="E45" s="36">
        <v>0</v>
      </c>
      <c r="F45" s="19"/>
      <c r="G45" s="19"/>
      <c r="H45" s="19"/>
      <c r="I45" s="19"/>
      <c r="J45" s="19"/>
      <c r="K45" s="19"/>
      <c r="L45" s="36">
        <f t="shared" si="1"/>
        <v>0</v>
      </c>
      <c r="M45" s="24" t="s">
        <v>334</v>
      </c>
    </row>
    <row r="46" spans="1:13" ht="30" customHeight="1">
      <c r="A46" s="33">
        <v>43</v>
      </c>
      <c r="B46" s="32" t="s">
        <v>335</v>
      </c>
      <c r="C46" s="39" t="s">
        <v>336</v>
      </c>
      <c r="D46" s="38" t="s">
        <v>337</v>
      </c>
      <c r="E46" s="36">
        <v>13</v>
      </c>
      <c r="F46" s="19"/>
      <c r="G46" s="19"/>
      <c r="H46" s="19"/>
      <c r="I46" s="19"/>
      <c r="J46" s="19"/>
      <c r="K46" s="19">
        <v>15</v>
      </c>
      <c r="L46" s="36">
        <f t="shared" si="1"/>
        <v>28</v>
      </c>
      <c r="M46" s="24"/>
    </row>
    <row r="47" spans="1:13" ht="30" customHeight="1">
      <c r="A47" s="50">
        <v>44</v>
      </c>
      <c r="B47" s="53" t="s">
        <v>335</v>
      </c>
      <c r="C47" s="39" t="s">
        <v>338</v>
      </c>
      <c r="D47" s="38" t="s">
        <v>339</v>
      </c>
      <c r="E47" s="36">
        <v>7</v>
      </c>
      <c r="F47" s="19"/>
      <c r="G47" s="19"/>
      <c r="H47" s="19"/>
      <c r="I47" s="19"/>
      <c r="J47" s="19"/>
      <c r="K47" s="19">
        <v>15</v>
      </c>
      <c r="L47" s="36">
        <f t="shared" si="1"/>
        <v>22</v>
      </c>
      <c r="M47" s="24"/>
    </row>
    <row r="48" spans="1:13" ht="30" customHeight="1">
      <c r="A48" s="50">
        <v>45</v>
      </c>
      <c r="B48" s="53" t="s">
        <v>335</v>
      </c>
      <c r="C48" s="48" t="s">
        <v>340</v>
      </c>
      <c r="D48" s="54" t="s">
        <v>341</v>
      </c>
      <c r="E48" s="36">
        <v>8</v>
      </c>
      <c r="F48" s="19"/>
      <c r="G48" s="19"/>
      <c r="H48" s="19"/>
      <c r="I48" s="19"/>
      <c r="J48" s="19"/>
      <c r="K48" s="19">
        <v>10</v>
      </c>
      <c r="L48" s="36">
        <f t="shared" si="1"/>
        <v>18</v>
      </c>
      <c r="M48" s="24"/>
    </row>
    <row r="49" spans="1:13" ht="30" customHeight="1">
      <c r="A49" s="50">
        <v>46</v>
      </c>
      <c r="B49" s="53" t="s">
        <v>335</v>
      </c>
      <c r="C49" s="48" t="s">
        <v>342</v>
      </c>
      <c r="D49" s="54" t="s">
        <v>343</v>
      </c>
      <c r="E49" s="36">
        <v>8</v>
      </c>
      <c r="F49" s="19"/>
      <c r="G49" s="19"/>
      <c r="H49" s="19"/>
      <c r="I49" s="19"/>
      <c r="J49" s="19"/>
      <c r="K49" s="19">
        <v>5</v>
      </c>
      <c r="L49" s="36">
        <f t="shared" si="1"/>
        <v>13</v>
      </c>
      <c r="M49" s="24"/>
    </row>
    <row r="50" spans="1:13" ht="30" customHeight="1">
      <c r="A50" s="33">
        <v>47</v>
      </c>
      <c r="B50" s="32" t="s">
        <v>344</v>
      </c>
      <c r="C50" s="39" t="s">
        <v>345</v>
      </c>
      <c r="D50" s="38" t="s">
        <v>346</v>
      </c>
      <c r="E50" s="36">
        <v>8</v>
      </c>
      <c r="F50" s="19"/>
      <c r="G50" s="19"/>
      <c r="H50" s="19"/>
      <c r="I50" s="19"/>
      <c r="J50" s="19"/>
      <c r="K50" s="19">
        <v>10</v>
      </c>
      <c r="L50" s="36">
        <f t="shared" si="1"/>
        <v>18</v>
      </c>
      <c r="M50" s="24"/>
    </row>
    <row r="51" spans="1:13" ht="30" customHeight="1">
      <c r="A51" s="33">
        <v>48</v>
      </c>
      <c r="B51" s="32" t="s">
        <v>344</v>
      </c>
      <c r="C51" s="39" t="s">
        <v>347</v>
      </c>
      <c r="D51" s="38" t="s">
        <v>348</v>
      </c>
      <c r="E51" s="36">
        <v>5</v>
      </c>
      <c r="F51" s="19"/>
      <c r="G51" s="19"/>
      <c r="H51" s="19"/>
      <c r="I51" s="19"/>
      <c r="J51" s="19"/>
      <c r="K51" s="19">
        <v>10</v>
      </c>
      <c r="L51" s="36">
        <f t="shared" si="1"/>
        <v>15</v>
      </c>
      <c r="M51" s="24"/>
    </row>
    <row r="52" spans="1:13" ht="30" customHeight="1">
      <c r="A52" s="33">
        <v>49</v>
      </c>
      <c r="B52" s="32" t="s">
        <v>349</v>
      </c>
      <c r="C52" s="39" t="s">
        <v>350</v>
      </c>
      <c r="D52" s="38" t="s">
        <v>351</v>
      </c>
      <c r="E52" s="36">
        <v>61</v>
      </c>
      <c r="F52" s="19"/>
      <c r="G52" s="19"/>
      <c r="H52" s="19"/>
      <c r="I52" s="19"/>
      <c r="J52" s="19"/>
      <c r="K52" s="19">
        <v>50</v>
      </c>
      <c r="L52" s="36">
        <f t="shared" si="1"/>
        <v>111</v>
      </c>
      <c r="M52" s="24"/>
    </row>
    <row r="53" spans="1:13" ht="30" customHeight="1">
      <c r="A53" s="33">
        <v>50</v>
      </c>
      <c r="B53" s="32" t="s">
        <v>352</v>
      </c>
      <c r="C53" s="39" t="s">
        <v>353</v>
      </c>
      <c r="D53" s="38" t="s">
        <v>354</v>
      </c>
      <c r="E53" s="36">
        <v>352</v>
      </c>
      <c r="F53" s="19"/>
      <c r="G53" s="19"/>
      <c r="H53" s="19"/>
      <c r="I53" s="19"/>
      <c r="J53" s="19"/>
      <c r="K53" s="19"/>
      <c r="L53" s="36">
        <f t="shared" si="1"/>
        <v>352</v>
      </c>
      <c r="M53" s="24"/>
    </row>
    <row r="54" spans="1:13" ht="30" customHeight="1">
      <c r="A54" s="50">
        <v>51</v>
      </c>
      <c r="B54" s="53" t="s">
        <v>352</v>
      </c>
      <c r="C54" s="39" t="s">
        <v>355</v>
      </c>
      <c r="D54" s="38" t="s">
        <v>356</v>
      </c>
      <c r="E54" s="36">
        <v>401</v>
      </c>
      <c r="F54" s="19"/>
      <c r="G54" s="19"/>
      <c r="H54" s="19"/>
      <c r="I54" s="19"/>
      <c r="J54" s="19"/>
      <c r="K54" s="19"/>
      <c r="L54" s="36">
        <f t="shared" si="1"/>
        <v>401</v>
      </c>
      <c r="M54" s="24"/>
    </row>
    <row r="55" spans="1:13" ht="30" customHeight="1">
      <c r="A55" s="50">
        <v>52</v>
      </c>
      <c r="B55" s="53"/>
      <c r="C55" s="48" t="s">
        <v>154</v>
      </c>
      <c r="D55" s="38" t="s">
        <v>357</v>
      </c>
      <c r="E55" s="36">
        <v>0</v>
      </c>
      <c r="F55" s="19"/>
      <c r="G55" s="19"/>
      <c r="H55" s="19"/>
      <c r="I55" s="19"/>
      <c r="J55" s="19"/>
      <c r="K55" s="19"/>
      <c r="L55" s="36">
        <f t="shared" si="1"/>
        <v>0</v>
      </c>
      <c r="M55" s="24"/>
    </row>
    <row r="56" spans="1:13" ht="30" customHeight="1">
      <c r="A56" s="60">
        <v>53</v>
      </c>
      <c r="B56" s="59" t="s">
        <v>358</v>
      </c>
      <c r="C56" s="58" t="s">
        <v>359</v>
      </c>
      <c r="D56" s="57" t="s">
        <v>360</v>
      </c>
      <c r="E56" s="36">
        <v>5</v>
      </c>
      <c r="F56" s="19"/>
      <c r="G56" s="19"/>
      <c r="H56" s="19"/>
      <c r="I56" s="19"/>
      <c r="J56" s="19"/>
      <c r="K56" s="19"/>
      <c r="L56" s="36">
        <f t="shared" si="1"/>
        <v>5</v>
      </c>
      <c r="M56" s="24"/>
    </row>
    <row r="57" spans="1:13" ht="30" customHeight="1">
      <c r="A57" s="50">
        <v>54</v>
      </c>
      <c r="B57" s="53" t="s">
        <v>361</v>
      </c>
      <c r="C57" s="48" t="s">
        <v>362</v>
      </c>
      <c r="D57" s="38" t="s">
        <v>363</v>
      </c>
      <c r="E57" s="36">
        <v>5</v>
      </c>
      <c r="F57" s="19"/>
      <c r="G57" s="19"/>
      <c r="H57" s="19"/>
      <c r="I57" s="19"/>
      <c r="J57" s="19"/>
      <c r="K57" s="19"/>
      <c r="L57" s="36">
        <f t="shared" si="1"/>
        <v>5</v>
      </c>
      <c r="M57" s="24"/>
    </row>
    <row r="58" spans="1:13" ht="30" customHeight="1">
      <c r="A58" s="50">
        <v>55</v>
      </c>
      <c r="B58" s="53" t="s">
        <v>364</v>
      </c>
      <c r="C58" s="47" t="s">
        <v>365</v>
      </c>
      <c r="D58" s="54" t="s">
        <v>366</v>
      </c>
      <c r="E58" s="36">
        <v>1</v>
      </c>
      <c r="F58" s="19"/>
      <c r="G58" s="19"/>
      <c r="H58" s="19"/>
      <c r="I58" s="19"/>
      <c r="J58" s="19">
        <v>1</v>
      </c>
      <c r="K58" s="19"/>
      <c r="L58" s="36">
        <f t="shared" si="1"/>
        <v>0</v>
      </c>
      <c r="M58" s="24"/>
    </row>
    <row r="59" spans="1:13" ht="30" customHeight="1">
      <c r="A59" s="50">
        <v>56</v>
      </c>
      <c r="B59" s="53" t="s">
        <v>367</v>
      </c>
      <c r="C59" s="48" t="s">
        <v>368</v>
      </c>
      <c r="D59" s="54" t="s">
        <v>369</v>
      </c>
      <c r="E59" s="36">
        <v>4</v>
      </c>
      <c r="F59" s="19"/>
      <c r="G59" s="19"/>
      <c r="H59" s="19"/>
      <c r="I59" s="19"/>
      <c r="J59" s="19"/>
      <c r="K59" s="19"/>
      <c r="L59" s="36">
        <f t="shared" si="1"/>
        <v>4</v>
      </c>
      <c r="M59" s="24"/>
    </row>
    <row r="60" spans="1:13" ht="30" customHeight="1">
      <c r="A60" s="50">
        <v>57</v>
      </c>
      <c r="B60" s="53"/>
      <c r="C60" s="48" t="s">
        <v>370</v>
      </c>
      <c r="D60" s="54" t="s">
        <v>371</v>
      </c>
      <c r="E60" s="36">
        <v>5</v>
      </c>
      <c r="F60" s="19"/>
      <c r="G60" s="19"/>
      <c r="H60" s="19"/>
      <c r="I60" s="19"/>
      <c r="J60" s="19"/>
      <c r="K60" s="19"/>
      <c r="L60" s="36">
        <f t="shared" si="1"/>
        <v>5</v>
      </c>
      <c r="M60" s="24"/>
    </row>
    <row r="61" spans="1:13" s="16" customFormat="1" ht="30" customHeight="1">
      <c r="A61" s="33">
        <v>58</v>
      </c>
      <c r="B61" s="32"/>
      <c r="C61" s="39" t="s">
        <v>372</v>
      </c>
      <c r="D61" s="45" t="s">
        <v>373</v>
      </c>
      <c r="E61" s="36">
        <v>3</v>
      </c>
      <c r="F61" s="19">
        <v>1</v>
      </c>
      <c r="G61" s="19"/>
      <c r="H61" s="19"/>
      <c r="I61" s="19"/>
      <c r="J61" s="19"/>
      <c r="K61" s="19"/>
      <c r="L61" s="36">
        <f t="shared" si="1"/>
        <v>2</v>
      </c>
      <c r="M61" s="24"/>
    </row>
    <row r="62" spans="1:13" ht="30" customHeight="1">
      <c r="A62" s="50">
        <v>59</v>
      </c>
      <c r="B62" s="53" t="s">
        <v>374</v>
      </c>
      <c r="C62" s="48" t="s">
        <v>375</v>
      </c>
      <c r="D62" s="54" t="s">
        <v>376</v>
      </c>
      <c r="E62" s="36">
        <v>1</v>
      </c>
      <c r="F62" s="19"/>
      <c r="G62" s="19"/>
      <c r="H62" s="19"/>
      <c r="I62" s="19"/>
      <c r="J62" s="19"/>
      <c r="K62" s="19"/>
      <c r="L62" s="36">
        <f t="shared" si="1"/>
        <v>1</v>
      </c>
      <c r="M62" s="24"/>
    </row>
    <row r="63" spans="1:13" ht="30" customHeight="1">
      <c r="A63" s="50">
        <v>60</v>
      </c>
      <c r="B63" s="53" t="s">
        <v>377</v>
      </c>
      <c r="C63" s="48" t="s">
        <v>378</v>
      </c>
      <c r="D63" s="54" t="s">
        <v>379</v>
      </c>
      <c r="E63" s="36">
        <v>1</v>
      </c>
      <c r="F63" s="19"/>
      <c r="G63" s="19"/>
      <c r="H63" s="19"/>
      <c r="I63" s="19"/>
      <c r="J63" s="19"/>
      <c r="K63" s="19"/>
      <c r="L63" s="36">
        <f t="shared" si="1"/>
        <v>1</v>
      </c>
      <c r="M63" s="24"/>
    </row>
    <row r="64" spans="1:13" ht="30" customHeight="1">
      <c r="A64" s="50">
        <v>61</v>
      </c>
      <c r="B64" s="53" t="s">
        <v>380</v>
      </c>
      <c r="C64" s="39" t="s">
        <v>381</v>
      </c>
      <c r="D64" s="47" t="s">
        <v>382</v>
      </c>
      <c r="E64" s="36">
        <v>2</v>
      </c>
      <c r="F64" s="19"/>
      <c r="G64" s="19"/>
      <c r="H64" s="19"/>
      <c r="I64" s="19"/>
      <c r="J64" s="19"/>
      <c r="K64" s="19"/>
      <c r="L64" s="36">
        <f t="shared" si="1"/>
        <v>2</v>
      </c>
      <c r="M64" s="24"/>
    </row>
    <row r="65" spans="1:13" ht="30" customHeight="1">
      <c r="A65" s="50">
        <v>62</v>
      </c>
      <c r="B65" s="53" t="s">
        <v>377</v>
      </c>
      <c r="C65" s="39" t="s">
        <v>383</v>
      </c>
      <c r="D65" s="47" t="s">
        <v>384</v>
      </c>
      <c r="E65" s="36">
        <v>1</v>
      </c>
      <c r="F65" s="19"/>
      <c r="G65" s="19"/>
      <c r="H65" s="19"/>
      <c r="I65" s="19"/>
      <c r="J65" s="19"/>
      <c r="K65" s="19"/>
      <c r="L65" s="36">
        <f t="shared" si="1"/>
        <v>1</v>
      </c>
      <c r="M65" s="24"/>
    </row>
    <row r="66" spans="1:13" ht="30" customHeight="1">
      <c r="A66" s="50">
        <v>63</v>
      </c>
      <c r="B66" s="53" t="s">
        <v>385</v>
      </c>
      <c r="C66" s="39" t="s">
        <v>386</v>
      </c>
      <c r="D66" s="54" t="s">
        <v>387</v>
      </c>
      <c r="E66" s="36">
        <v>3</v>
      </c>
      <c r="F66" s="19"/>
      <c r="G66" s="19"/>
      <c r="H66" s="19"/>
      <c r="I66" s="19"/>
      <c r="J66" s="19">
        <v>1</v>
      </c>
      <c r="K66" s="19"/>
      <c r="L66" s="36">
        <f t="shared" ref="L66:L97" si="2">E66-F66-G66-H66-I66-J66+K66</f>
        <v>2</v>
      </c>
      <c r="M66" s="24"/>
    </row>
    <row r="67" spans="1:13" ht="30" customHeight="1">
      <c r="A67" s="50">
        <v>64</v>
      </c>
      <c r="B67" s="53"/>
      <c r="C67" s="39" t="s">
        <v>388</v>
      </c>
      <c r="D67" s="54" t="s">
        <v>389</v>
      </c>
      <c r="E67" s="36">
        <v>2</v>
      </c>
      <c r="F67" s="19"/>
      <c r="G67" s="19"/>
      <c r="H67" s="19"/>
      <c r="I67" s="19"/>
      <c r="J67" s="19"/>
      <c r="K67" s="19"/>
      <c r="L67" s="36">
        <f t="shared" si="2"/>
        <v>2</v>
      </c>
      <c r="M67" s="24"/>
    </row>
    <row r="68" spans="1:13" ht="30" customHeight="1">
      <c r="A68" s="50">
        <v>65</v>
      </c>
      <c r="B68" s="53" t="s">
        <v>390</v>
      </c>
      <c r="C68" s="39" t="s">
        <v>391</v>
      </c>
      <c r="D68" s="38" t="s">
        <v>392</v>
      </c>
      <c r="E68" s="36">
        <v>4</v>
      </c>
      <c r="F68" s="19"/>
      <c r="G68" s="19"/>
      <c r="H68" s="19"/>
      <c r="I68" s="19"/>
      <c r="J68" s="19"/>
      <c r="K68" s="19">
        <v>5</v>
      </c>
      <c r="L68" s="36">
        <f t="shared" si="2"/>
        <v>9</v>
      </c>
      <c r="M68" s="24"/>
    </row>
    <row r="69" spans="1:13" ht="30" customHeight="1">
      <c r="A69" s="50">
        <v>66</v>
      </c>
      <c r="B69" s="53" t="s">
        <v>393</v>
      </c>
      <c r="C69" s="48" t="s">
        <v>394</v>
      </c>
      <c r="D69" s="54" t="s">
        <v>395</v>
      </c>
      <c r="E69" s="36">
        <v>5</v>
      </c>
      <c r="F69" s="19"/>
      <c r="G69" s="19"/>
      <c r="H69" s="19"/>
      <c r="I69" s="19"/>
      <c r="J69" s="19"/>
      <c r="K69" s="19"/>
      <c r="L69" s="36">
        <f t="shared" si="2"/>
        <v>5</v>
      </c>
      <c r="M69" s="24"/>
    </row>
    <row r="70" spans="1:13" ht="30" customHeight="1">
      <c r="A70" s="50">
        <v>69</v>
      </c>
      <c r="B70" s="53" t="s">
        <v>396</v>
      </c>
      <c r="C70" s="48" t="s">
        <v>397</v>
      </c>
      <c r="D70" s="47" t="s">
        <v>398</v>
      </c>
      <c r="E70" s="36">
        <v>1</v>
      </c>
      <c r="F70" s="19"/>
      <c r="G70" s="19"/>
      <c r="H70" s="19"/>
      <c r="I70" s="19"/>
      <c r="J70" s="19"/>
      <c r="K70" s="19"/>
      <c r="L70" s="36">
        <f t="shared" si="2"/>
        <v>1</v>
      </c>
      <c r="M70" s="24"/>
    </row>
    <row r="71" spans="1:13" ht="30" customHeight="1">
      <c r="A71" s="50">
        <v>70</v>
      </c>
      <c r="B71" s="53" t="s">
        <v>396</v>
      </c>
      <c r="C71" s="48" t="s">
        <v>399</v>
      </c>
      <c r="D71" s="54" t="s">
        <v>400</v>
      </c>
      <c r="E71" s="36">
        <v>1</v>
      </c>
      <c r="F71" s="19"/>
      <c r="G71" s="19"/>
      <c r="H71" s="19"/>
      <c r="I71" s="19"/>
      <c r="J71" s="19"/>
      <c r="K71" s="19"/>
      <c r="L71" s="36">
        <f t="shared" si="2"/>
        <v>1</v>
      </c>
      <c r="M71" s="24"/>
    </row>
    <row r="72" spans="1:13">
      <c r="A72" s="50">
        <v>71</v>
      </c>
      <c r="B72" s="53" t="s">
        <v>380</v>
      </c>
      <c r="C72" s="56" t="s">
        <v>401</v>
      </c>
      <c r="D72" s="55" t="s">
        <v>402</v>
      </c>
      <c r="E72" s="36">
        <v>3</v>
      </c>
      <c r="F72" s="19"/>
      <c r="G72" s="19"/>
      <c r="H72" s="19"/>
      <c r="I72" s="19"/>
      <c r="J72" s="19"/>
      <c r="K72" s="19"/>
      <c r="L72" s="36">
        <f t="shared" si="2"/>
        <v>3</v>
      </c>
      <c r="M72" s="24"/>
    </row>
    <row r="73" spans="1:13" ht="30" customHeight="1">
      <c r="A73" s="50">
        <v>72</v>
      </c>
      <c r="B73" s="53"/>
      <c r="C73" s="48" t="s">
        <v>403</v>
      </c>
      <c r="D73" s="54" t="s">
        <v>404</v>
      </c>
      <c r="E73" s="36">
        <v>0</v>
      </c>
      <c r="F73" s="19"/>
      <c r="G73" s="19"/>
      <c r="H73" s="19"/>
      <c r="I73" s="19"/>
      <c r="J73" s="19"/>
      <c r="K73" s="19"/>
      <c r="L73" s="36">
        <f t="shared" si="2"/>
        <v>0</v>
      </c>
      <c r="M73" s="24"/>
    </row>
    <row r="74" spans="1:13" ht="30" customHeight="1">
      <c r="A74" s="50">
        <v>75</v>
      </c>
      <c r="B74" s="53" t="s">
        <v>377</v>
      </c>
      <c r="C74" s="48" t="s">
        <v>405</v>
      </c>
      <c r="D74" s="47" t="s">
        <v>406</v>
      </c>
      <c r="E74" s="36">
        <v>1</v>
      </c>
      <c r="F74" s="19"/>
      <c r="G74" s="19"/>
      <c r="H74" s="19"/>
      <c r="I74" s="19"/>
      <c r="J74" s="19"/>
      <c r="K74" s="19"/>
      <c r="L74" s="36">
        <f t="shared" si="2"/>
        <v>1</v>
      </c>
      <c r="M74" s="24"/>
    </row>
    <row r="75" spans="1:13">
      <c r="A75" s="50">
        <v>76</v>
      </c>
      <c r="B75" s="53" t="s">
        <v>377</v>
      </c>
      <c r="C75" s="52" t="s">
        <v>407</v>
      </c>
      <c r="D75" s="51" t="s">
        <v>408</v>
      </c>
      <c r="E75" s="36">
        <v>1</v>
      </c>
      <c r="F75" s="19"/>
      <c r="G75" s="19"/>
      <c r="H75" s="19"/>
      <c r="I75" s="19"/>
      <c r="J75" s="19"/>
      <c r="K75" s="19"/>
      <c r="L75" s="36">
        <f t="shared" si="2"/>
        <v>1</v>
      </c>
      <c r="M75" s="24"/>
    </row>
    <row r="76" spans="1:13" ht="30" customHeight="1">
      <c r="A76" s="50">
        <v>77</v>
      </c>
      <c r="B76" s="49" t="s">
        <v>377</v>
      </c>
      <c r="C76" s="48" t="s">
        <v>409</v>
      </c>
      <c r="D76" s="47" t="s">
        <v>410</v>
      </c>
      <c r="E76" s="36">
        <v>1</v>
      </c>
      <c r="F76" s="19"/>
      <c r="G76" s="19"/>
      <c r="H76" s="19"/>
      <c r="I76" s="19"/>
      <c r="J76" s="19"/>
      <c r="K76" s="19"/>
      <c r="L76" s="36">
        <f t="shared" si="2"/>
        <v>1</v>
      </c>
      <c r="M76" s="24"/>
    </row>
    <row r="77" spans="1:13" s="16" customFormat="1" ht="30" customHeight="1">
      <c r="A77" s="33">
        <v>78</v>
      </c>
      <c r="B77" s="32"/>
      <c r="C77" s="39" t="s">
        <v>411</v>
      </c>
      <c r="D77" s="45" t="s">
        <v>412</v>
      </c>
      <c r="E77" s="36">
        <v>1</v>
      </c>
      <c r="F77" s="19"/>
      <c r="G77" s="19"/>
      <c r="H77" s="19"/>
      <c r="I77" s="19"/>
      <c r="J77" s="19"/>
      <c r="K77" s="19"/>
      <c r="L77" s="36">
        <f t="shared" si="2"/>
        <v>1</v>
      </c>
      <c r="M77" s="24"/>
    </row>
    <row r="78" spans="1:13" s="16" customFormat="1" ht="30" customHeight="1">
      <c r="A78" s="33">
        <v>79</v>
      </c>
      <c r="B78" s="32" t="s">
        <v>413</v>
      </c>
      <c r="C78" s="39"/>
      <c r="D78" s="45" t="s">
        <v>414</v>
      </c>
      <c r="E78" s="36">
        <v>1</v>
      </c>
      <c r="F78" s="19"/>
      <c r="G78" s="19"/>
      <c r="H78" s="19"/>
      <c r="I78" s="19"/>
      <c r="J78" s="19"/>
      <c r="K78" s="19"/>
      <c r="L78" s="36">
        <f t="shared" si="2"/>
        <v>1</v>
      </c>
      <c r="M78" s="24"/>
    </row>
    <row r="79" spans="1:13" s="16" customFormat="1" ht="30" customHeight="1">
      <c r="A79" s="33">
        <v>80</v>
      </c>
      <c r="B79" s="32" t="s">
        <v>413</v>
      </c>
      <c r="C79" s="39"/>
      <c r="D79" s="45" t="s">
        <v>415</v>
      </c>
      <c r="E79" s="36">
        <v>1</v>
      </c>
      <c r="F79" s="19"/>
      <c r="G79" s="19"/>
      <c r="H79" s="19"/>
      <c r="I79" s="19"/>
      <c r="J79" s="19"/>
      <c r="K79" s="19"/>
      <c r="L79" s="36">
        <f t="shared" si="2"/>
        <v>1</v>
      </c>
      <c r="M79" s="24"/>
    </row>
    <row r="80" spans="1:13" s="16" customFormat="1" ht="69">
      <c r="A80" s="33">
        <v>84</v>
      </c>
      <c r="B80" s="32">
        <v>1</v>
      </c>
      <c r="C80" s="39"/>
      <c r="D80" s="45" t="s">
        <v>416</v>
      </c>
      <c r="E80" s="36">
        <v>1</v>
      </c>
      <c r="F80" s="19"/>
      <c r="G80" s="19"/>
      <c r="H80" s="19"/>
      <c r="I80" s="19"/>
      <c r="J80" s="19"/>
      <c r="K80" s="19"/>
      <c r="L80" s="36">
        <f t="shared" si="2"/>
        <v>1</v>
      </c>
      <c r="M80" s="24" t="s">
        <v>417</v>
      </c>
    </row>
    <row r="81" spans="1:13" s="16" customFormat="1" ht="30" customHeight="1">
      <c r="A81" s="33">
        <v>81</v>
      </c>
      <c r="B81" s="32">
        <v>1</v>
      </c>
      <c r="C81" s="39" t="s">
        <v>409</v>
      </c>
      <c r="D81" s="38" t="s">
        <v>418</v>
      </c>
      <c r="E81" s="36">
        <v>12</v>
      </c>
      <c r="F81" s="19"/>
      <c r="G81" s="19"/>
      <c r="H81" s="19">
        <v>4</v>
      </c>
      <c r="I81" s="19"/>
      <c r="J81" s="19"/>
      <c r="K81" s="19"/>
      <c r="L81" s="36">
        <f t="shared" si="2"/>
        <v>8</v>
      </c>
      <c r="M81" s="24" t="s">
        <v>419</v>
      </c>
    </row>
    <row r="82" spans="1:13" s="16" customFormat="1" ht="30" customHeight="1">
      <c r="A82" s="33">
        <v>82</v>
      </c>
      <c r="B82" s="32"/>
      <c r="C82" s="39" t="s">
        <v>420</v>
      </c>
      <c r="D82" s="38" t="s">
        <v>421</v>
      </c>
      <c r="E82" s="36">
        <v>9</v>
      </c>
      <c r="F82" s="19"/>
      <c r="G82" s="19"/>
      <c r="H82" s="19"/>
      <c r="I82" s="19"/>
      <c r="J82" s="19"/>
      <c r="K82" s="19"/>
      <c r="L82" s="36">
        <f t="shared" si="2"/>
        <v>9</v>
      </c>
      <c r="M82" s="24" t="s">
        <v>419</v>
      </c>
    </row>
    <row r="83" spans="1:13" s="16" customFormat="1" ht="30" customHeight="1">
      <c r="A83" s="33">
        <v>83</v>
      </c>
      <c r="B83" s="32">
        <v>1</v>
      </c>
      <c r="C83" s="39" t="s">
        <v>409</v>
      </c>
      <c r="D83" s="38" t="s">
        <v>422</v>
      </c>
      <c r="E83" s="46">
        <v>14</v>
      </c>
      <c r="F83" s="19"/>
      <c r="G83" s="19"/>
      <c r="H83" s="19"/>
      <c r="I83" s="19"/>
      <c r="J83" s="19"/>
      <c r="K83" s="19"/>
      <c r="L83" s="36">
        <f t="shared" si="2"/>
        <v>14</v>
      </c>
      <c r="M83" s="24" t="s">
        <v>419</v>
      </c>
    </row>
    <row r="84" spans="1:13" s="16" customFormat="1" ht="30" customHeight="1">
      <c r="A84" s="33">
        <v>85</v>
      </c>
      <c r="B84" s="32">
        <v>1</v>
      </c>
      <c r="C84" s="39" t="s">
        <v>409</v>
      </c>
      <c r="D84" s="38" t="s">
        <v>423</v>
      </c>
      <c r="E84" s="36">
        <v>0</v>
      </c>
      <c r="F84" s="19"/>
      <c r="G84" s="19"/>
      <c r="H84" s="19"/>
      <c r="I84" s="19"/>
      <c r="J84" s="19"/>
      <c r="K84" s="19"/>
      <c r="L84" s="36">
        <f t="shared" si="2"/>
        <v>0</v>
      </c>
      <c r="M84" s="24" t="s">
        <v>419</v>
      </c>
    </row>
    <row r="85" spans="1:13" s="16" customFormat="1" ht="30" customHeight="1">
      <c r="A85" s="33">
        <v>86</v>
      </c>
      <c r="B85" s="32" t="s">
        <v>424</v>
      </c>
      <c r="C85" s="39">
        <v>371073838</v>
      </c>
      <c r="D85" s="45" t="s">
        <v>425</v>
      </c>
      <c r="E85" s="36">
        <v>2</v>
      </c>
      <c r="F85" s="19"/>
      <c r="G85" s="19"/>
      <c r="H85" s="19"/>
      <c r="I85" s="19"/>
      <c r="J85" s="19"/>
      <c r="K85" s="19"/>
      <c r="L85" s="36">
        <f t="shared" si="2"/>
        <v>2</v>
      </c>
      <c r="M85" s="24" t="s">
        <v>419</v>
      </c>
    </row>
    <row r="86" spans="1:13" s="16" customFormat="1" ht="30" customHeight="1">
      <c r="A86" s="33">
        <v>87</v>
      </c>
      <c r="B86" s="32" t="s">
        <v>424</v>
      </c>
      <c r="C86" s="39">
        <v>371031433</v>
      </c>
      <c r="D86" s="38" t="s">
        <v>426</v>
      </c>
      <c r="E86" s="36">
        <v>4</v>
      </c>
      <c r="F86" s="19"/>
      <c r="G86" s="19"/>
      <c r="H86" s="19"/>
      <c r="I86" s="19"/>
      <c r="J86" s="19"/>
      <c r="K86" s="19"/>
      <c r="L86" s="36">
        <f t="shared" si="2"/>
        <v>4</v>
      </c>
      <c r="M86" s="24" t="s">
        <v>419</v>
      </c>
    </row>
    <row r="87" spans="1:13" s="16" customFormat="1" ht="28.7" customHeight="1">
      <c r="A87" s="33">
        <v>88</v>
      </c>
      <c r="B87" s="32"/>
      <c r="C87" s="39" t="s">
        <v>427</v>
      </c>
      <c r="D87" s="38" t="s">
        <v>428</v>
      </c>
      <c r="E87" s="36">
        <v>0</v>
      </c>
      <c r="F87" s="19"/>
      <c r="G87" s="19"/>
      <c r="H87" s="19"/>
      <c r="I87" s="19"/>
      <c r="J87" s="19"/>
      <c r="K87" s="19"/>
      <c r="L87" s="36">
        <f t="shared" si="2"/>
        <v>0</v>
      </c>
      <c r="M87" s="24" t="s">
        <v>419</v>
      </c>
    </row>
    <row r="88" spans="1:13" s="16" customFormat="1" ht="30" customHeight="1">
      <c r="A88" s="33">
        <v>89</v>
      </c>
      <c r="B88" s="32">
        <v>1</v>
      </c>
      <c r="C88" s="39" t="s">
        <v>429</v>
      </c>
      <c r="D88" s="38" t="s">
        <v>430</v>
      </c>
      <c r="E88" s="36">
        <v>2</v>
      </c>
      <c r="F88" s="19"/>
      <c r="G88" s="19"/>
      <c r="H88" s="19"/>
      <c r="I88" s="19"/>
      <c r="J88" s="19"/>
      <c r="K88" s="19"/>
      <c r="L88" s="36">
        <f t="shared" si="2"/>
        <v>2</v>
      </c>
      <c r="M88" s="24" t="s">
        <v>431</v>
      </c>
    </row>
    <row r="89" spans="1:13" s="16" customFormat="1" ht="30" customHeight="1">
      <c r="A89" s="33">
        <v>90</v>
      </c>
      <c r="B89" s="32">
        <v>1</v>
      </c>
      <c r="C89" s="39" t="s">
        <v>432</v>
      </c>
      <c r="D89" s="38" t="s">
        <v>433</v>
      </c>
      <c r="E89" s="36">
        <v>4</v>
      </c>
      <c r="F89" s="19"/>
      <c r="G89" s="19"/>
      <c r="H89" s="19"/>
      <c r="I89" s="19"/>
      <c r="J89" s="19"/>
      <c r="K89" s="19"/>
      <c r="L89" s="36">
        <f t="shared" si="2"/>
        <v>4</v>
      </c>
      <c r="M89" s="24" t="s">
        <v>419</v>
      </c>
    </row>
    <row r="90" spans="1:13" s="16" customFormat="1">
      <c r="A90" s="33">
        <v>91</v>
      </c>
      <c r="B90" s="32"/>
      <c r="C90" s="39" t="s">
        <v>434</v>
      </c>
      <c r="D90" s="38" t="s">
        <v>435</v>
      </c>
      <c r="E90" s="36">
        <v>4</v>
      </c>
      <c r="F90" s="19"/>
      <c r="G90" s="19"/>
      <c r="H90" s="19"/>
      <c r="I90" s="19"/>
      <c r="J90" s="19"/>
      <c r="K90" s="19"/>
      <c r="L90" s="36">
        <f t="shared" si="2"/>
        <v>4</v>
      </c>
      <c r="M90" s="24" t="s">
        <v>431</v>
      </c>
    </row>
    <row r="91" spans="1:13" s="16" customFormat="1">
      <c r="A91" s="33">
        <v>92</v>
      </c>
      <c r="B91" s="32">
        <v>1</v>
      </c>
      <c r="C91" s="39" t="s">
        <v>436</v>
      </c>
      <c r="D91" s="38" t="s">
        <v>437</v>
      </c>
      <c r="E91" s="36">
        <v>0</v>
      </c>
      <c r="F91" s="19"/>
      <c r="G91" s="19"/>
      <c r="H91" s="19"/>
      <c r="I91" s="19"/>
      <c r="J91" s="19"/>
      <c r="K91" s="19"/>
      <c r="L91" s="36">
        <f t="shared" si="2"/>
        <v>0</v>
      </c>
      <c r="M91" s="24" t="s">
        <v>419</v>
      </c>
    </row>
    <row r="92" spans="1:13" s="16" customFormat="1">
      <c r="A92" s="33">
        <v>93</v>
      </c>
      <c r="B92" s="32">
        <v>1</v>
      </c>
      <c r="C92" s="39" t="s">
        <v>438</v>
      </c>
      <c r="D92" s="38" t="s">
        <v>439</v>
      </c>
      <c r="E92" s="36">
        <v>2</v>
      </c>
      <c r="F92" s="19"/>
      <c r="G92" s="19"/>
      <c r="H92" s="19"/>
      <c r="I92" s="19"/>
      <c r="J92" s="19"/>
      <c r="K92" s="19"/>
      <c r="L92" s="36">
        <f t="shared" si="2"/>
        <v>2</v>
      </c>
      <c r="M92" s="24" t="s">
        <v>440</v>
      </c>
    </row>
    <row r="93" spans="1:13" s="16" customFormat="1">
      <c r="A93" s="44" t="s">
        <v>441</v>
      </c>
      <c r="B93" s="43">
        <v>1</v>
      </c>
      <c r="C93" s="42"/>
      <c r="D93" s="41" t="s">
        <v>442</v>
      </c>
      <c r="E93" s="40">
        <v>1</v>
      </c>
      <c r="F93" s="19"/>
      <c r="G93" s="19"/>
      <c r="H93" s="19"/>
      <c r="I93" s="19"/>
      <c r="J93" s="19"/>
      <c r="K93" s="19"/>
      <c r="L93" s="40">
        <f t="shared" si="2"/>
        <v>1</v>
      </c>
      <c r="M93" s="17"/>
    </row>
    <row r="94" spans="1:13" s="16" customFormat="1">
      <c r="A94" s="44" t="s">
        <v>443</v>
      </c>
      <c r="B94" s="43">
        <v>1</v>
      </c>
      <c r="C94" s="42"/>
      <c r="D94" s="41" t="s">
        <v>444</v>
      </c>
      <c r="E94" s="40">
        <v>30</v>
      </c>
      <c r="F94" s="19"/>
      <c r="G94" s="19"/>
      <c r="H94" s="19"/>
      <c r="I94" s="19"/>
      <c r="J94" s="19"/>
      <c r="K94" s="19"/>
      <c r="L94" s="40">
        <f t="shared" si="2"/>
        <v>30</v>
      </c>
      <c r="M94" s="17"/>
    </row>
    <row r="95" spans="1:13" s="16" customFormat="1">
      <c r="A95" s="33">
        <v>94</v>
      </c>
      <c r="B95" s="32"/>
      <c r="C95" s="39" t="s">
        <v>445</v>
      </c>
      <c r="D95" s="38" t="s">
        <v>446</v>
      </c>
      <c r="E95" s="36">
        <v>0</v>
      </c>
      <c r="F95" s="19"/>
      <c r="G95" s="19"/>
      <c r="H95" s="19"/>
      <c r="I95" s="19"/>
      <c r="J95" s="19"/>
      <c r="K95" s="19"/>
      <c r="L95" s="36">
        <f t="shared" si="2"/>
        <v>0</v>
      </c>
      <c r="M95" s="24" t="s">
        <v>419</v>
      </c>
    </row>
    <row r="96" spans="1:13" s="16" customFormat="1">
      <c r="A96" s="33">
        <v>95</v>
      </c>
      <c r="B96" s="32"/>
      <c r="C96" s="39" t="s">
        <v>447</v>
      </c>
      <c r="D96" s="38" t="s">
        <v>448</v>
      </c>
      <c r="E96" s="36">
        <v>5</v>
      </c>
      <c r="F96" s="19"/>
      <c r="G96" s="19"/>
      <c r="H96" s="19">
        <v>3</v>
      </c>
      <c r="I96" s="19"/>
      <c r="J96" s="19"/>
      <c r="K96" s="19"/>
      <c r="L96" s="36">
        <f t="shared" si="2"/>
        <v>2</v>
      </c>
      <c r="M96" s="24" t="s">
        <v>449</v>
      </c>
    </row>
    <row r="97" spans="1:13" s="16" customFormat="1">
      <c r="A97" s="33">
        <v>96</v>
      </c>
      <c r="B97" s="32"/>
      <c r="C97" s="39" t="s">
        <v>450</v>
      </c>
      <c r="D97" s="38" t="s">
        <v>451</v>
      </c>
      <c r="E97" s="36">
        <v>3</v>
      </c>
      <c r="F97" s="19"/>
      <c r="G97" s="19"/>
      <c r="H97" s="19">
        <v>3</v>
      </c>
      <c r="I97" s="19"/>
      <c r="J97" s="19"/>
      <c r="K97" s="19"/>
      <c r="L97" s="36">
        <f t="shared" si="2"/>
        <v>0</v>
      </c>
      <c r="M97" s="24" t="s">
        <v>449</v>
      </c>
    </row>
    <row r="98" spans="1:13" s="16" customFormat="1">
      <c r="A98" s="33">
        <v>97</v>
      </c>
      <c r="B98" s="32"/>
      <c r="C98" s="39" t="s">
        <v>452</v>
      </c>
      <c r="D98" s="38" t="s">
        <v>453</v>
      </c>
      <c r="E98" s="36">
        <v>0</v>
      </c>
      <c r="F98" s="19"/>
      <c r="G98" s="19"/>
      <c r="H98" s="19"/>
      <c r="I98" s="19"/>
      <c r="J98" s="19"/>
      <c r="K98" s="19"/>
      <c r="L98" s="36">
        <f t="shared" ref="L98:L129" si="3">E98-F98-G98-H98-I98-J98+K98</f>
        <v>0</v>
      </c>
      <c r="M98" s="34" t="s">
        <v>419</v>
      </c>
    </row>
    <row r="99" spans="1:13" s="16" customFormat="1">
      <c r="A99" s="33">
        <v>98</v>
      </c>
      <c r="B99" s="32" t="s">
        <v>349</v>
      </c>
      <c r="C99" s="31" t="s">
        <v>454</v>
      </c>
      <c r="D99" s="30" t="s">
        <v>455</v>
      </c>
      <c r="E99" s="36">
        <v>0</v>
      </c>
      <c r="F99" s="19"/>
      <c r="G99" s="19"/>
      <c r="H99" s="19"/>
      <c r="I99" s="19"/>
      <c r="J99" s="19"/>
      <c r="K99" s="19"/>
      <c r="L99" s="36">
        <f t="shared" si="3"/>
        <v>0</v>
      </c>
      <c r="M99" s="24"/>
    </row>
    <row r="100" spans="1:13" s="16" customFormat="1">
      <c r="A100" s="33">
        <v>99</v>
      </c>
      <c r="B100" s="32"/>
      <c r="C100" s="31" t="s">
        <v>456</v>
      </c>
      <c r="D100" s="30" t="s">
        <v>457</v>
      </c>
      <c r="E100" s="36">
        <v>0</v>
      </c>
      <c r="F100" s="19"/>
      <c r="G100" s="19"/>
      <c r="H100" s="19"/>
      <c r="I100" s="19"/>
      <c r="J100" s="19"/>
      <c r="K100" s="19"/>
      <c r="L100" s="36">
        <f t="shared" si="3"/>
        <v>0</v>
      </c>
      <c r="M100" s="24"/>
    </row>
    <row r="101" spans="1:13" s="16" customFormat="1" ht="31.7" customHeight="1">
      <c r="A101" s="33">
        <v>100</v>
      </c>
      <c r="B101" s="32" t="s">
        <v>458</v>
      </c>
      <c r="C101" s="31" t="s">
        <v>459</v>
      </c>
      <c r="D101" s="30" t="s">
        <v>460</v>
      </c>
      <c r="E101" s="36">
        <v>13</v>
      </c>
      <c r="F101" s="19"/>
      <c r="G101" s="19"/>
      <c r="H101" s="19"/>
      <c r="I101" s="19"/>
      <c r="J101" s="19"/>
      <c r="K101" s="19"/>
      <c r="L101" s="36">
        <f t="shared" si="3"/>
        <v>13</v>
      </c>
      <c r="M101" s="24"/>
    </row>
    <row r="102" spans="1:13" s="16" customFormat="1" ht="31.35" customHeight="1">
      <c r="A102" s="33">
        <v>101</v>
      </c>
      <c r="B102" s="32"/>
      <c r="C102" s="31" t="s">
        <v>461</v>
      </c>
      <c r="D102" s="30" t="s">
        <v>462</v>
      </c>
      <c r="E102" s="36">
        <v>3</v>
      </c>
      <c r="F102" s="19"/>
      <c r="G102" s="19"/>
      <c r="H102" s="19"/>
      <c r="I102" s="19"/>
      <c r="J102" s="19"/>
      <c r="K102" s="19"/>
      <c r="L102" s="36">
        <f t="shared" si="3"/>
        <v>3</v>
      </c>
      <c r="M102" s="24" t="s">
        <v>463</v>
      </c>
    </row>
    <row r="103" spans="1:13" s="16" customFormat="1">
      <c r="A103" s="33">
        <v>102</v>
      </c>
      <c r="B103" s="32"/>
      <c r="C103" s="31" t="s">
        <v>464</v>
      </c>
      <c r="D103" s="30" t="s">
        <v>465</v>
      </c>
      <c r="E103" s="36">
        <v>0</v>
      </c>
      <c r="F103" s="19"/>
      <c r="G103" s="19"/>
      <c r="H103" s="19"/>
      <c r="I103" s="19"/>
      <c r="J103" s="19"/>
      <c r="K103" s="19"/>
      <c r="L103" s="36">
        <f t="shared" si="3"/>
        <v>0</v>
      </c>
      <c r="M103" s="24"/>
    </row>
    <row r="104" spans="1:13" s="16" customFormat="1">
      <c r="A104" s="33">
        <v>105</v>
      </c>
      <c r="B104" s="32"/>
      <c r="C104" s="31" t="s">
        <v>466</v>
      </c>
      <c r="D104" s="30" t="s">
        <v>467</v>
      </c>
      <c r="E104" s="36">
        <v>0</v>
      </c>
      <c r="F104" s="19"/>
      <c r="G104" s="19"/>
      <c r="H104" s="19"/>
      <c r="I104" s="19"/>
      <c r="J104" s="19"/>
      <c r="K104" s="19"/>
      <c r="L104" s="36">
        <f t="shared" si="3"/>
        <v>0</v>
      </c>
      <c r="M104" s="24"/>
    </row>
    <row r="105" spans="1:13" s="16" customFormat="1" ht="45.95">
      <c r="A105" s="33">
        <v>106</v>
      </c>
      <c r="B105" s="32" t="s">
        <v>468</v>
      </c>
      <c r="C105" s="31" t="s">
        <v>469</v>
      </c>
      <c r="D105" s="30" t="s">
        <v>470</v>
      </c>
      <c r="E105" s="36">
        <v>1</v>
      </c>
      <c r="F105" s="19"/>
      <c r="G105" s="19"/>
      <c r="H105" s="19"/>
      <c r="I105" s="19"/>
      <c r="J105" s="19"/>
      <c r="K105" s="19"/>
      <c r="L105" s="36">
        <f t="shared" si="3"/>
        <v>1</v>
      </c>
      <c r="M105" s="24"/>
    </row>
    <row r="106" spans="1:13" s="16" customFormat="1">
      <c r="A106" s="33">
        <v>107</v>
      </c>
      <c r="B106" s="32" t="s">
        <v>468</v>
      </c>
      <c r="C106" s="37" t="s">
        <v>471</v>
      </c>
      <c r="D106" s="30" t="s">
        <v>472</v>
      </c>
      <c r="E106" s="36">
        <v>1</v>
      </c>
      <c r="F106" s="19"/>
      <c r="G106" s="19"/>
      <c r="H106" s="19"/>
      <c r="I106" s="19"/>
      <c r="J106" s="19"/>
      <c r="K106" s="19"/>
      <c r="L106" s="36">
        <f t="shared" si="3"/>
        <v>1</v>
      </c>
      <c r="M106" s="24"/>
    </row>
    <row r="107" spans="1:13" s="16" customFormat="1" ht="45.95">
      <c r="A107" s="33">
        <v>108</v>
      </c>
      <c r="B107" s="32"/>
      <c r="C107" s="31" t="s">
        <v>99</v>
      </c>
      <c r="D107" s="30" t="s">
        <v>473</v>
      </c>
      <c r="E107" s="36">
        <v>0</v>
      </c>
      <c r="F107" s="19"/>
      <c r="G107" s="19"/>
      <c r="H107" s="19"/>
      <c r="I107" s="19"/>
      <c r="J107" s="19"/>
      <c r="K107" s="19"/>
      <c r="L107" s="36">
        <f t="shared" si="3"/>
        <v>0</v>
      </c>
      <c r="M107" s="24"/>
    </row>
    <row r="108" spans="1:13" s="16" customFormat="1">
      <c r="A108" s="33">
        <v>109</v>
      </c>
      <c r="B108" s="32"/>
      <c r="C108" s="31" t="s">
        <v>474</v>
      </c>
      <c r="D108" s="30" t="s">
        <v>475</v>
      </c>
      <c r="E108" s="36">
        <v>0</v>
      </c>
      <c r="F108" s="19"/>
      <c r="G108" s="19"/>
      <c r="H108" s="19"/>
      <c r="I108" s="19"/>
      <c r="J108" s="19"/>
      <c r="K108" s="19"/>
      <c r="L108" s="36">
        <f t="shared" si="3"/>
        <v>0</v>
      </c>
      <c r="M108" s="24"/>
    </row>
    <row r="109" spans="1:13" s="16" customFormat="1">
      <c r="A109" s="33">
        <v>110</v>
      </c>
      <c r="B109" s="32"/>
      <c r="C109" s="31" t="s">
        <v>476</v>
      </c>
      <c r="D109" s="30" t="s">
        <v>477</v>
      </c>
      <c r="E109" s="36">
        <v>1</v>
      </c>
      <c r="F109" s="19"/>
      <c r="G109" s="19"/>
      <c r="H109" s="19"/>
      <c r="I109" s="19"/>
      <c r="J109" s="19"/>
      <c r="K109" s="19"/>
      <c r="L109" s="36">
        <f t="shared" si="3"/>
        <v>1</v>
      </c>
      <c r="M109" s="24"/>
    </row>
    <row r="110" spans="1:13" s="16" customFormat="1">
      <c r="A110" s="33">
        <v>111</v>
      </c>
      <c r="B110" s="32"/>
      <c r="C110" s="31" t="s">
        <v>478</v>
      </c>
      <c r="D110" s="30" t="s">
        <v>479</v>
      </c>
      <c r="E110" s="36">
        <v>1</v>
      </c>
      <c r="F110" s="19"/>
      <c r="G110" s="19"/>
      <c r="H110" s="19"/>
      <c r="I110" s="19"/>
      <c r="J110" s="19"/>
      <c r="K110" s="19"/>
      <c r="L110" s="36">
        <f t="shared" si="3"/>
        <v>1</v>
      </c>
      <c r="M110" s="24"/>
    </row>
    <row r="111" spans="1:13" s="16" customFormat="1">
      <c r="A111" s="33" t="s">
        <v>480</v>
      </c>
      <c r="B111" s="32"/>
      <c r="C111" s="31" t="s">
        <v>481</v>
      </c>
      <c r="D111" s="30" t="s">
        <v>482</v>
      </c>
      <c r="E111" s="36">
        <v>5</v>
      </c>
      <c r="F111" s="19"/>
      <c r="G111" s="19"/>
      <c r="H111" s="19"/>
      <c r="I111" s="19"/>
      <c r="J111" s="19"/>
      <c r="K111" s="19"/>
      <c r="L111" s="36">
        <f t="shared" si="3"/>
        <v>5</v>
      </c>
      <c r="M111" s="24"/>
    </row>
    <row r="112" spans="1:13" s="16" customFormat="1">
      <c r="A112" s="33">
        <v>112</v>
      </c>
      <c r="B112" s="32"/>
      <c r="C112" s="31" t="s">
        <v>483</v>
      </c>
      <c r="D112" s="30" t="s">
        <v>484</v>
      </c>
      <c r="E112" s="36">
        <v>0</v>
      </c>
      <c r="F112" s="19"/>
      <c r="G112" s="19"/>
      <c r="H112" s="19"/>
      <c r="I112" s="19"/>
      <c r="J112" s="19"/>
      <c r="K112" s="19"/>
      <c r="L112" s="36">
        <f t="shared" si="3"/>
        <v>0</v>
      </c>
      <c r="M112" s="24"/>
    </row>
    <row r="113" spans="1:13" s="16" customFormat="1" ht="45.95">
      <c r="A113" s="33">
        <v>113</v>
      </c>
      <c r="B113" s="32"/>
      <c r="C113" s="31" t="s">
        <v>485</v>
      </c>
      <c r="D113" s="30" t="s">
        <v>486</v>
      </c>
      <c r="E113" s="36">
        <v>0</v>
      </c>
      <c r="F113" s="19"/>
      <c r="G113" s="19"/>
      <c r="H113" s="19"/>
      <c r="I113" s="19"/>
      <c r="J113" s="19"/>
      <c r="K113" s="19"/>
      <c r="L113" s="36">
        <f t="shared" si="3"/>
        <v>0</v>
      </c>
      <c r="M113" s="24"/>
    </row>
    <row r="114" spans="1:13" s="16" customFormat="1">
      <c r="A114" s="33">
        <v>114</v>
      </c>
      <c r="B114" s="32"/>
      <c r="C114" s="31" t="s">
        <v>487</v>
      </c>
      <c r="D114" s="30" t="s">
        <v>488</v>
      </c>
      <c r="E114" s="36">
        <v>10</v>
      </c>
      <c r="F114" s="19"/>
      <c r="G114" s="19"/>
      <c r="H114" s="19"/>
      <c r="I114" s="19"/>
      <c r="J114" s="19"/>
      <c r="K114" s="19"/>
      <c r="L114" s="36">
        <f t="shared" si="3"/>
        <v>10</v>
      </c>
      <c r="M114" s="24"/>
    </row>
    <row r="115" spans="1:13" s="16" customFormat="1">
      <c r="A115" s="33">
        <v>115</v>
      </c>
      <c r="B115" s="32"/>
      <c r="C115" s="31" t="s">
        <v>489</v>
      </c>
      <c r="D115" s="30" t="s">
        <v>490</v>
      </c>
      <c r="E115" s="25">
        <v>12</v>
      </c>
      <c r="F115" s="19">
        <v>1</v>
      </c>
      <c r="G115" s="19"/>
      <c r="H115" s="19"/>
      <c r="I115" s="19"/>
      <c r="J115" s="19">
        <v>1</v>
      </c>
      <c r="K115" s="19">
        <v>1</v>
      </c>
      <c r="L115" s="25">
        <f t="shared" si="3"/>
        <v>11</v>
      </c>
      <c r="M115" s="24" t="s">
        <v>491</v>
      </c>
    </row>
    <row r="116" spans="1:13" s="16" customFormat="1">
      <c r="A116" s="33">
        <v>175</v>
      </c>
      <c r="B116" s="32"/>
      <c r="C116" s="31" t="s">
        <v>492</v>
      </c>
      <c r="D116" s="30" t="s">
        <v>493</v>
      </c>
      <c r="E116" s="36">
        <v>3</v>
      </c>
      <c r="F116" s="19"/>
      <c r="G116" s="19"/>
      <c r="H116" s="19"/>
      <c r="I116" s="19"/>
      <c r="J116" s="19"/>
      <c r="K116" s="19"/>
      <c r="L116" s="36">
        <f t="shared" si="3"/>
        <v>3</v>
      </c>
      <c r="M116" s="24"/>
    </row>
    <row r="117" spans="1:13" s="16" customFormat="1">
      <c r="A117" s="33">
        <v>116</v>
      </c>
      <c r="B117" s="32"/>
      <c r="C117" s="31" t="s">
        <v>494</v>
      </c>
      <c r="D117" s="30" t="s">
        <v>495</v>
      </c>
      <c r="E117" s="36">
        <v>2</v>
      </c>
      <c r="F117" s="19"/>
      <c r="G117" s="19"/>
      <c r="H117" s="19"/>
      <c r="I117" s="19"/>
      <c r="J117" s="19"/>
      <c r="K117" s="19"/>
      <c r="L117" s="36">
        <f t="shared" si="3"/>
        <v>2</v>
      </c>
      <c r="M117" s="24" t="s">
        <v>496</v>
      </c>
    </row>
    <row r="118" spans="1:13" s="16" customFormat="1">
      <c r="A118" s="33">
        <v>117</v>
      </c>
      <c r="B118" s="32"/>
      <c r="C118" s="31" t="s">
        <v>497</v>
      </c>
      <c r="D118" s="30" t="s">
        <v>498</v>
      </c>
      <c r="E118" s="25">
        <v>1</v>
      </c>
      <c r="F118" s="19"/>
      <c r="G118" s="19"/>
      <c r="H118" s="19"/>
      <c r="I118" s="19"/>
      <c r="J118" s="19"/>
      <c r="K118" s="19"/>
      <c r="L118" s="25">
        <f t="shared" si="3"/>
        <v>1</v>
      </c>
      <c r="M118" s="24" t="s">
        <v>496</v>
      </c>
    </row>
    <row r="119" spans="1:13" s="16" customFormat="1">
      <c r="A119" s="33">
        <v>118</v>
      </c>
      <c r="B119" s="32"/>
      <c r="C119" s="31">
        <v>3866750</v>
      </c>
      <c r="D119" s="30" t="s">
        <v>499</v>
      </c>
      <c r="E119" s="36">
        <v>2</v>
      </c>
      <c r="F119" s="19"/>
      <c r="G119" s="19"/>
      <c r="H119" s="19"/>
      <c r="I119" s="19"/>
      <c r="J119" s="19"/>
      <c r="K119" s="19"/>
      <c r="L119" s="36">
        <f t="shared" si="3"/>
        <v>2</v>
      </c>
      <c r="M119" s="24" t="s">
        <v>500</v>
      </c>
    </row>
    <row r="120" spans="1:13" s="16" customFormat="1">
      <c r="A120" s="33">
        <v>119</v>
      </c>
      <c r="B120" s="32"/>
      <c r="C120" s="31">
        <v>3866763</v>
      </c>
      <c r="D120" s="30" t="s">
        <v>501</v>
      </c>
      <c r="E120" s="36">
        <v>1</v>
      </c>
      <c r="F120" s="19"/>
      <c r="G120" s="19"/>
      <c r="H120" s="19"/>
      <c r="I120" s="19"/>
      <c r="J120" s="19"/>
      <c r="K120" s="19"/>
      <c r="L120" s="36">
        <f t="shared" si="3"/>
        <v>1</v>
      </c>
      <c r="M120" s="24" t="s">
        <v>500</v>
      </c>
    </row>
    <row r="121" spans="1:13" s="16" customFormat="1">
      <c r="A121" s="33">
        <v>120</v>
      </c>
      <c r="B121" s="32"/>
      <c r="C121" s="31">
        <v>3866747</v>
      </c>
      <c r="D121" s="30" t="s">
        <v>502</v>
      </c>
      <c r="E121" s="36">
        <v>1</v>
      </c>
      <c r="F121" s="19"/>
      <c r="G121" s="19"/>
      <c r="H121" s="19"/>
      <c r="I121" s="19"/>
      <c r="J121" s="19"/>
      <c r="K121" s="19"/>
      <c r="L121" s="36">
        <f t="shared" si="3"/>
        <v>1</v>
      </c>
      <c r="M121" s="24" t="s">
        <v>500</v>
      </c>
    </row>
    <row r="122" spans="1:13" s="16" customFormat="1">
      <c r="A122" s="33">
        <v>121</v>
      </c>
      <c r="B122" s="32"/>
      <c r="C122" s="31" t="s">
        <v>503</v>
      </c>
      <c r="D122" s="30" t="s">
        <v>504</v>
      </c>
      <c r="E122" s="36">
        <v>0</v>
      </c>
      <c r="F122" s="19"/>
      <c r="G122" s="19"/>
      <c r="H122" s="19"/>
      <c r="I122" s="19"/>
      <c r="J122" s="19"/>
      <c r="K122" s="19"/>
      <c r="L122" s="36">
        <f t="shared" si="3"/>
        <v>0</v>
      </c>
      <c r="M122" s="24" t="s">
        <v>440</v>
      </c>
    </row>
    <row r="123" spans="1:13" s="16" customFormat="1">
      <c r="A123" s="33">
        <v>122</v>
      </c>
      <c r="B123" s="32"/>
      <c r="C123" s="31">
        <v>371163365</v>
      </c>
      <c r="D123" s="30" t="s">
        <v>505</v>
      </c>
      <c r="E123" s="36">
        <v>1</v>
      </c>
      <c r="F123" s="19"/>
      <c r="G123" s="19"/>
      <c r="H123" s="19"/>
      <c r="I123" s="19"/>
      <c r="J123" s="19"/>
      <c r="K123" s="19"/>
      <c r="L123" s="36">
        <f t="shared" si="3"/>
        <v>1</v>
      </c>
      <c r="M123" s="24" t="s">
        <v>419</v>
      </c>
    </row>
    <row r="124" spans="1:13" s="16" customFormat="1">
      <c r="A124" s="33">
        <v>123</v>
      </c>
      <c r="B124" s="32">
        <v>1</v>
      </c>
      <c r="C124" s="31"/>
      <c r="D124" s="30" t="s">
        <v>506</v>
      </c>
      <c r="E124" s="36">
        <v>21</v>
      </c>
      <c r="F124" s="19"/>
      <c r="G124" s="19"/>
      <c r="H124" s="19"/>
      <c r="I124" s="19"/>
      <c r="J124" s="19"/>
      <c r="K124" s="19"/>
      <c r="L124" s="36">
        <f t="shared" si="3"/>
        <v>21</v>
      </c>
      <c r="M124" s="24" t="s">
        <v>419</v>
      </c>
    </row>
    <row r="125" spans="1:13" s="16" customFormat="1">
      <c r="A125" s="33">
        <v>124</v>
      </c>
      <c r="B125" s="32">
        <v>1</v>
      </c>
      <c r="C125" s="31"/>
      <c r="D125" s="30" t="s">
        <v>507</v>
      </c>
      <c r="E125" s="36">
        <v>67</v>
      </c>
      <c r="F125" s="19"/>
      <c r="G125" s="19"/>
      <c r="H125" s="19"/>
      <c r="I125" s="19"/>
      <c r="J125" s="19"/>
      <c r="K125" s="19"/>
      <c r="L125" s="36">
        <f t="shared" si="3"/>
        <v>67</v>
      </c>
      <c r="M125" s="24" t="s">
        <v>419</v>
      </c>
    </row>
    <row r="126" spans="1:13" s="16" customFormat="1">
      <c r="A126" s="33">
        <v>125</v>
      </c>
      <c r="B126" s="32">
        <v>1</v>
      </c>
      <c r="C126" s="31">
        <v>371157668</v>
      </c>
      <c r="D126" s="30" t="s">
        <v>508</v>
      </c>
      <c r="E126" s="36">
        <v>1</v>
      </c>
      <c r="F126" s="19"/>
      <c r="G126" s="19"/>
      <c r="H126" s="19"/>
      <c r="I126" s="19"/>
      <c r="J126" s="19"/>
      <c r="K126" s="19"/>
      <c r="L126" s="36">
        <f t="shared" si="3"/>
        <v>1</v>
      </c>
      <c r="M126" s="24" t="s">
        <v>419</v>
      </c>
    </row>
    <row r="127" spans="1:13" s="16" customFormat="1">
      <c r="A127" s="33">
        <v>126</v>
      </c>
      <c r="B127" s="32">
        <v>1</v>
      </c>
      <c r="C127" s="31"/>
      <c r="D127" s="30" t="s">
        <v>509</v>
      </c>
      <c r="E127" s="36">
        <v>8</v>
      </c>
      <c r="F127" s="19"/>
      <c r="G127" s="19"/>
      <c r="H127" s="19"/>
      <c r="I127" s="19"/>
      <c r="J127" s="19"/>
      <c r="K127" s="19"/>
      <c r="L127" s="36">
        <f t="shared" si="3"/>
        <v>8</v>
      </c>
      <c r="M127" s="24" t="s">
        <v>419</v>
      </c>
    </row>
    <row r="128" spans="1:13" s="16" customFormat="1" ht="31.7" customHeight="1">
      <c r="A128" s="33">
        <v>127</v>
      </c>
      <c r="B128" s="32">
        <v>1</v>
      </c>
      <c r="C128" s="31"/>
      <c r="D128" s="30" t="s">
        <v>510</v>
      </c>
      <c r="E128" s="36">
        <v>2</v>
      </c>
      <c r="F128" s="19"/>
      <c r="G128" s="19"/>
      <c r="H128" s="19"/>
      <c r="I128" s="19"/>
      <c r="J128" s="19"/>
      <c r="K128" s="19"/>
      <c r="L128" s="36">
        <f t="shared" si="3"/>
        <v>2</v>
      </c>
      <c r="M128" s="24" t="s">
        <v>419</v>
      </c>
    </row>
    <row r="129" spans="1:13" s="16" customFormat="1">
      <c r="A129" s="33">
        <v>128</v>
      </c>
      <c r="B129" s="32">
        <v>1</v>
      </c>
      <c r="C129" s="31">
        <v>371034603</v>
      </c>
      <c r="D129" s="30" t="s">
        <v>511</v>
      </c>
      <c r="E129" s="36">
        <v>1</v>
      </c>
      <c r="F129" s="19"/>
      <c r="G129" s="19"/>
      <c r="H129" s="19"/>
      <c r="I129" s="19"/>
      <c r="J129" s="19"/>
      <c r="K129" s="19"/>
      <c r="L129" s="36">
        <f t="shared" si="3"/>
        <v>1</v>
      </c>
      <c r="M129" s="24" t="s">
        <v>419</v>
      </c>
    </row>
    <row r="130" spans="1:13" s="16" customFormat="1">
      <c r="A130" s="33">
        <v>129</v>
      </c>
      <c r="B130" s="32">
        <v>1</v>
      </c>
      <c r="C130" s="31">
        <v>371009414</v>
      </c>
      <c r="D130" s="30" t="s">
        <v>512</v>
      </c>
      <c r="E130" s="36">
        <v>3</v>
      </c>
      <c r="F130" s="19"/>
      <c r="G130" s="19"/>
      <c r="H130" s="19"/>
      <c r="I130" s="19"/>
      <c r="J130" s="19"/>
      <c r="K130" s="19"/>
      <c r="L130" s="36">
        <f t="shared" ref="L130:L161" si="4">E130-F130-G130-H130-I130-J130+K130</f>
        <v>3</v>
      </c>
      <c r="M130" s="24" t="s">
        <v>419</v>
      </c>
    </row>
    <row r="131" spans="1:13" s="16" customFormat="1">
      <c r="A131" s="33">
        <v>130</v>
      </c>
      <c r="B131" s="32">
        <v>1</v>
      </c>
      <c r="C131" s="31">
        <v>371197911</v>
      </c>
      <c r="D131" s="30" t="s">
        <v>513</v>
      </c>
      <c r="E131" s="36">
        <v>2</v>
      </c>
      <c r="F131" s="19"/>
      <c r="G131" s="19"/>
      <c r="H131" s="19"/>
      <c r="I131" s="19"/>
      <c r="J131" s="19"/>
      <c r="K131" s="19"/>
      <c r="L131" s="36">
        <f t="shared" si="4"/>
        <v>2</v>
      </c>
      <c r="M131" s="24" t="s">
        <v>419</v>
      </c>
    </row>
    <row r="132" spans="1:13" s="16" customFormat="1">
      <c r="A132" s="33">
        <v>131</v>
      </c>
      <c r="B132" s="32">
        <v>1</v>
      </c>
      <c r="C132" s="31">
        <v>371157688</v>
      </c>
      <c r="D132" s="30" t="s">
        <v>514</v>
      </c>
      <c r="E132" s="36">
        <v>13</v>
      </c>
      <c r="F132" s="19"/>
      <c r="G132" s="19"/>
      <c r="H132" s="19"/>
      <c r="I132" s="19"/>
      <c r="J132" s="19"/>
      <c r="K132" s="19"/>
      <c r="L132" s="36">
        <f t="shared" si="4"/>
        <v>13</v>
      </c>
      <c r="M132" s="24" t="s">
        <v>419</v>
      </c>
    </row>
    <row r="133" spans="1:13" s="16" customFormat="1">
      <c r="A133" s="33">
        <v>132</v>
      </c>
      <c r="B133" s="32">
        <v>1</v>
      </c>
      <c r="C133" s="31">
        <v>913101344</v>
      </c>
      <c r="D133" s="30" t="s">
        <v>515</v>
      </c>
      <c r="E133" s="36">
        <v>2</v>
      </c>
      <c r="F133" s="19"/>
      <c r="G133" s="19"/>
      <c r="H133" s="19"/>
      <c r="I133" s="19"/>
      <c r="J133" s="19"/>
      <c r="K133" s="19"/>
      <c r="L133" s="36">
        <f t="shared" si="4"/>
        <v>2</v>
      </c>
      <c r="M133" s="24" t="s">
        <v>419</v>
      </c>
    </row>
    <row r="134" spans="1:13" s="16" customFormat="1">
      <c r="A134" s="33">
        <v>133</v>
      </c>
      <c r="B134" s="32"/>
      <c r="C134" s="31">
        <v>814006091</v>
      </c>
      <c r="D134" s="30" t="s">
        <v>516</v>
      </c>
      <c r="E134" s="36">
        <v>0</v>
      </c>
      <c r="F134" s="19"/>
      <c r="G134" s="19"/>
      <c r="H134" s="19"/>
      <c r="I134" s="19"/>
      <c r="J134" s="19"/>
      <c r="K134" s="19"/>
      <c r="L134" s="36">
        <f t="shared" si="4"/>
        <v>0</v>
      </c>
      <c r="M134" s="24" t="s">
        <v>419</v>
      </c>
    </row>
    <row r="135" spans="1:13" s="16" customFormat="1">
      <c r="A135" s="33">
        <v>134</v>
      </c>
      <c r="B135" s="32">
        <v>1</v>
      </c>
      <c r="C135" s="31">
        <v>814006356</v>
      </c>
      <c r="D135" s="30" t="s">
        <v>517</v>
      </c>
      <c r="E135" s="36">
        <v>0</v>
      </c>
      <c r="F135" s="19"/>
      <c r="G135" s="19"/>
      <c r="H135" s="19"/>
      <c r="I135" s="19"/>
      <c r="J135" s="19"/>
      <c r="K135" s="19"/>
      <c r="L135" s="36">
        <f t="shared" si="4"/>
        <v>0</v>
      </c>
      <c r="M135" s="24" t="s">
        <v>419</v>
      </c>
    </row>
    <row r="136" spans="1:13" s="16" customFormat="1">
      <c r="A136" s="33">
        <v>135</v>
      </c>
      <c r="B136" s="32">
        <v>1</v>
      </c>
      <c r="C136" s="31">
        <v>814006376</v>
      </c>
      <c r="D136" s="30" t="s">
        <v>518</v>
      </c>
      <c r="E136" s="36">
        <v>0</v>
      </c>
      <c r="F136" s="19"/>
      <c r="G136" s="19"/>
      <c r="H136" s="19"/>
      <c r="I136" s="19"/>
      <c r="J136" s="19"/>
      <c r="K136" s="19"/>
      <c r="L136" s="36">
        <f t="shared" si="4"/>
        <v>0</v>
      </c>
      <c r="M136" s="24" t="s">
        <v>419</v>
      </c>
    </row>
    <row r="137" spans="1:13" s="16" customFormat="1">
      <c r="A137" s="33">
        <v>136</v>
      </c>
      <c r="B137" s="32"/>
      <c r="C137" s="31">
        <v>913101344</v>
      </c>
      <c r="D137" s="30" t="s">
        <v>515</v>
      </c>
      <c r="E137" s="36">
        <v>0</v>
      </c>
      <c r="F137" s="19"/>
      <c r="G137" s="19"/>
      <c r="H137" s="19"/>
      <c r="I137" s="19"/>
      <c r="J137" s="19"/>
      <c r="K137" s="19"/>
      <c r="L137" s="36">
        <f t="shared" si="4"/>
        <v>0</v>
      </c>
      <c r="M137" s="24" t="s">
        <v>419</v>
      </c>
    </row>
    <row r="138" spans="1:13" s="16" customFormat="1">
      <c r="A138" s="33">
        <v>137</v>
      </c>
      <c r="B138" s="32"/>
      <c r="C138" s="31">
        <v>371160436</v>
      </c>
      <c r="D138" s="30" t="s">
        <v>516</v>
      </c>
      <c r="E138" s="36">
        <v>0</v>
      </c>
      <c r="F138" s="19"/>
      <c r="G138" s="19"/>
      <c r="H138" s="19"/>
      <c r="I138" s="19"/>
      <c r="J138" s="19"/>
      <c r="K138" s="19"/>
      <c r="L138" s="36">
        <f t="shared" si="4"/>
        <v>0</v>
      </c>
      <c r="M138" s="24" t="s">
        <v>419</v>
      </c>
    </row>
    <row r="139" spans="1:13" s="16" customFormat="1">
      <c r="A139" s="33">
        <v>138</v>
      </c>
      <c r="B139" s="32">
        <v>1</v>
      </c>
      <c r="C139" s="31">
        <v>815011433</v>
      </c>
      <c r="D139" s="30" t="s">
        <v>519</v>
      </c>
      <c r="E139" s="36">
        <v>0</v>
      </c>
      <c r="F139" s="19"/>
      <c r="G139" s="19"/>
      <c r="H139" s="19"/>
      <c r="I139" s="19"/>
      <c r="J139" s="19"/>
      <c r="K139" s="19"/>
      <c r="L139" s="36">
        <f t="shared" si="4"/>
        <v>0</v>
      </c>
      <c r="M139" s="24" t="s">
        <v>419</v>
      </c>
    </row>
    <row r="140" spans="1:13" s="16" customFormat="1">
      <c r="A140" s="33">
        <v>139</v>
      </c>
      <c r="B140" s="32">
        <v>1</v>
      </c>
      <c r="C140" s="31">
        <v>371149319</v>
      </c>
      <c r="D140" s="30" t="s">
        <v>520</v>
      </c>
      <c r="E140" s="36">
        <v>1</v>
      </c>
      <c r="F140" s="19"/>
      <c r="G140" s="19"/>
      <c r="H140" s="19"/>
      <c r="I140" s="19"/>
      <c r="J140" s="19"/>
      <c r="K140" s="19">
        <v>1</v>
      </c>
      <c r="L140" s="36">
        <f t="shared" si="4"/>
        <v>2</v>
      </c>
      <c r="M140" s="24" t="s">
        <v>521</v>
      </c>
    </row>
    <row r="141" spans="1:13" s="16" customFormat="1">
      <c r="A141" s="33">
        <v>140</v>
      </c>
      <c r="B141" s="32">
        <v>1</v>
      </c>
      <c r="C141" s="31">
        <v>371130436</v>
      </c>
      <c r="D141" s="30" t="s">
        <v>522</v>
      </c>
      <c r="E141" s="36">
        <v>5</v>
      </c>
      <c r="F141" s="19"/>
      <c r="G141" s="19"/>
      <c r="H141" s="19"/>
      <c r="I141" s="19"/>
      <c r="J141" s="19"/>
      <c r="K141" s="19"/>
      <c r="L141" s="36">
        <f t="shared" si="4"/>
        <v>5</v>
      </c>
      <c r="M141" s="24" t="s">
        <v>419</v>
      </c>
    </row>
    <row r="142" spans="1:13" s="16" customFormat="1">
      <c r="A142" s="33">
        <v>141</v>
      </c>
      <c r="B142" s="32">
        <v>1</v>
      </c>
      <c r="C142" s="31"/>
      <c r="D142" s="30" t="s">
        <v>523</v>
      </c>
      <c r="E142" s="36">
        <v>0</v>
      </c>
      <c r="F142" s="19"/>
      <c r="G142" s="19"/>
      <c r="H142" s="19"/>
      <c r="I142" s="19"/>
      <c r="J142" s="19"/>
      <c r="K142" s="19"/>
      <c r="L142" s="36">
        <f t="shared" si="4"/>
        <v>0</v>
      </c>
      <c r="M142" s="24" t="s">
        <v>419</v>
      </c>
    </row>
    <row r="143" spans="1:13" s="16" customFormat="1">
      <c r="A143" s="33">
        <v>142</v>
      </c>
      <c r="B143" s="32"/>
      <c r="C143" s="31">
        <v>371149330</v>
      </c>
      <c r="D143" s="30" t="s">
        <v>524</v>
      </c>
      <c r="E143" s="36">
        <v>0</v>
      </c>
      <c r="F143" s="19"/>
      <c r="G143" s="19"/>
      <c r="H143" s="19"/>
      <c r="I143" s="19"/>
      <c r="J143" s="19"/>
      <c r="K143" s="19"/>
      <c r="L143" s="36">
        <f t="shared" si="4"/>
        <v>0</v>
      </c>
      <c r="M143" s="24" t="s">
        <v>419</v>
      </c>
    </row>
    <row r="144" spans="1:13" s="16" customFormat="1">
      <c r="A144" s="33">
        <v>143</v>
      </c>
      <c r="B144" s="32"/>
      <c r="C144" s="31"/>
      <c r="D144" s="30" t="s">
        <v>525</v>
      </c>
      <c r="E144" s="36">
        <v>0</v>
      </c>
      <c r="F144" s="19"/>
      <c r="G144" s="19"/>
      <c r="H144" s="19"/>
      <c r="I144" s="19"/>
      <c r="J144" s="19"/>
      <c r="K144" s="19"/>
      <c r="L144" s="36">
        <f t="shared" si="4"/>
        <v>0</v>
      </c>
      <c r="M144" s="24" t="s">
        <v>526</v>
      </c>
    </row>
    <row r="145" spans="1:13" s="16" customFormat="1">
      <c r="A145" s="33">
        <v>144</v>
      </c>
      <c r="B145" s="32"/>
      <c r="C145" s="31" t="s">
        <v>527</v>
      </c>
      <c r="D145" s="30" t="s">
        <v>528</v>
      </c>
      <c r="E145" s="36">
        <v>0</v>
      </c>
      <c r="F145" s="19"/>
      <c r="G145" s="19"/>
      <c r="H145" s="19"/>
      <c r="I145" s="19"/>
      <c r="J145" s="19"/>
      <c r="K145" s="19">
        <v>1</v>
      </c>
      <c r="L145" s="36">
        <f t="shared" si="4"/>
        <v>1</v>
      </c>
      <c r="M145" s="24" t="s">
        <v>529</v>
      </c>
    </row>
    <row r="146" spans="1:13" s="16" customFormat="1">
      <c r="A146" s="33">
        <v>145</v>
      </c>
      <c r="B146" s="32">
        <v>1</v>
      </c>
      <c r="C146" s="31">
        <v>371133854</v>
      </c>
      <c r="D146" s="30" t="s">
        <v>530</v>
      </c>
      <c r="E146" s="36">
        <v>1</v>
      </c>
      <c r="F146" s="19"/>
      <c r="G146" s="19"/>
      <c r="H146" s="19"/>
      <c r="I146" s="19"/>
      <c r="J146" s="19"/>
      <c r="K146" s="19"/>
      <c r="L146" s="36">
        <f t="shared" si="4"/>
        <v>1</v>
      </c>
      <c r="M146" s="24" t="s">
        <v>419</v>
      </c>
    </row>
    <row r="147" spans="1:13" s="16" customFormat="1">
      <c r="A147" s="33">
        <v>146</v>
      </c>
      <c r="B147" s="32">
        <v>1</v>
      </c>
      <c r="C147" s="31"/>
      <c r="D147" s="30" t="s">
        <v>531</v>
      </c>
      <c r="E147" s="36">
        <v>8</v>
      </c>
      <c r="F147" s="19"/>
      <c r="G147" s="19"/>
      <c r="H147" s="19"/>
      <c r="I147" s="19"/>
      <c r="J147" s="19"/>
      <c r="K147" s="19"/>
      <c r="L147" s="36">
        <f t="shared" si="4"/>
        <v>8</v>
      </c>
      <c r="M147" s="24" t="s">
        <v>419</v>
      </c>
    </row>
    <row r="148" spans="1:13" s="16" customFormat="1">
      <c r="A148" s="33">
        <v>147</v>
      </c>
      <c r="B148" s="32">
        <v>1</v>
      </c>
      <c r="C148" s="31"/>
      <c r="D148" s="30" t="s">
        <v>532</v>
      </c>
      <c r="E148" s="36">
        <v>2</v>
      </c>
      <c r="F148" s="19"/>
      <c r="G148" s="19"/>
      <c r="H148" s="19"/>
      <c r="I148" s="19"/>
      <c r="J148" s="19"/>
      <c r="K148" s="19"/>
      <c r="L148" s="36">
        <f t="shared" si="4"/>
        <v>2</v>
      </c>
      <c r="M148" s="24" t="s">
        <v>419</v>
      </c>
    </row>
    <row r="149" spans="1:13" s="16" customFormat="1">
      <c r="A149" s="33">
        <v>148</v>
      </c>
      <c r="B149" s="32">
        <v>1</v>
      </c>
      <c r="C149" s="31"/>
      <c r="D149" s="30" t="s">
        <v>533</v>
      </c>
      <c r="E149" s="36">
        <v>0</v>
      </c>
      <c r="F149" s="19"/>
      <c r="G149" s="19"/>
      <c r="H149" s="19"/>
      <c r="I149" s="19"/>
      <c r="J149" s="19"/>
      <c r="K149" s="19"/>
      <c r="L149" s="36">
        <f t="shared" si="4"/>
        <v>0</v>
      </c>
      <c r="M149" s="24" t="s">
        <v>419</v>
      </c>
    </row>
    <row r="150" spans="1:13" s="16" customFormat="1">
      <c r="A150" s="33">
        <v>149</v>
      </c>
      <c r="B150" s="32"/>
      <c r="C150" s="31"/>
      <c r="D150" s="30" t="s">
        <v>534</v>
      </c>
      <c r="E150" s="36">
        <v>0</v>
      </c>
      <c r="F150" s="19"/>
      <c r="G150" s="19"/>
      <c r="H150" s="19"/>
      <c r="I150" s="19"/>
      <c r="J150" s="19"/>
      <c r="K150" s="19"/>
      <c r="L150" s="36">
        <f t="shared" si="4"/>
        <v>0</v>
      </c>
      <c r="M150" s="24" t="s">
        <v>419</v>
      </c>
    </row>
    <row r="151" spans="1:13" s="16" customFormat="1">
      <c r="A151" s="33">
        <v>150</v>
      </c>
      <c r="B151" s="32">
        <v>1</v>
      </c>
      <c r="C151" s="31"/>
      <c r="D151" s="30" t="s">
        <v>535</v>
      </c>
      <c r="E151" s="36">
        <v>0</v>
      </c>
      <c r="F151" s="19"/>
      <c r="G151" s="19"/>
      <c r="H151" s="19"/>
      <c r="I151" s="19"/>
      <c r="J151" s="19"/>
      <c r="K151" s="19"/>
      <c r="L151" s="36">
        <f t="shared" si="4"/>
        <v>0</v>
      </c>
      <c r="M151" s="24" t="s">
        <v>419</v>
      </c>
    </row>
    <row r="152" spans="1:13" s="16" customFormat="1">
      <c r="A152" s="33">
        <v>151</v>
      </c>
      <c r="B152" s="32"/>
      <c r="C152" s="31">
        <v>810000300</v>
      </c>
      <c r="D152" s="30" t="s">
        <v>536</v>
      </c>
      <c r="E152" s="36">
        <v>5</v>
      </c>
      <c r="F152" s="19"/>
      <c r="G152" s="19"/>
      <c r="H152" s="19"/>
      <c r="I152" s="19"/>
      <c r="J152" s="19"/>
      <c r="K152" s="19"/>
      <c r="L152" s="36">
        <f t="shared" si="4"/>
        <v>5</v>
      </c>
      <c r="M152" s="24" t="s">
        <v>419</v>
      </c>
    </row>
    <row r="153" spans="1:13" s="16" customFormat="1">
      <c r="A153" s="33">
        <v>152</v>
      </c>
      <c r="B153" s="32">
        <v>1</v>
      </c>
      <c r="C153" s="31">
        <v>810005030</v>
      </c>
      <c r="D153" s="30" t="s">
        <v>537</v>
      </c>
      <c r="E153" s="36">
        <v>0</v>
      </c>
      <c r="F153" s="19"/>
      <c r="G153" s="19"/>
      <c r="H153" s="19"/>
      <c r="I153" s="19"/>
      <c r="J153" s="19"/>
      <c r="K153" s="19"/>
      <c r="L153" s="36">
        <f t="shared" si="4"/>
        <v>0</v>
      </c>
      <c r="M153" s="24" t="s">
        <v>419</v>
      </c>
    </row>
    <row r="154" spans="1:13" s="16" customFormat="1">
      <c r="A154" s="33">
        <v>153</v>
      </c>
      <c r="B154" s="32">
        <v>1</v>
      </c>
      <c r="C154" s="31">
        <v>810005090</v>
      </c>
      <c r="D154" s="30" t="s">
        <v>538</v>
      </c>
      <c r="E154" s="36">
        <v>0</v>
      </c>
      <c r="F154" s="19"/>
      <c r="G154" s="19"/>
      <c r="H154" s="19"/>
      <c r="I154" s="19"/>
      <c r="J154" s="19"/>
      <c r="K154" s="19"/>
      <c r="L154" s="36">
        <f t="shared" si="4"/>
        <v>0</v>
      </c>
      <c r="M154" s="24" t="s">
        <v>419</v>
      </c>
    </row>
    <row r="155" spans="1:13" s="16" customFormat="1">
      <c r="A155" s="33">
        <v>154</v>
      </c>
      <c r="B155" s="32">
        <v>1</v>
      </c>
      <c r="C155" s="31">
        <v>810005030</v>
      </c>
      <c r="D155" s="30" t="s">
        <v>539</v>
      </c>
      <c r="E155" s="36">
        <v>0</v>
      </c>
      <c r="F155" s="19"/>
      <c r="G155" s="19"/>
      <c r="H155" s="19"/>
      <c r="I155" s="19"/>
      <c r="J155" s="19"/>
      <c r="K155" s="19"/>
      <c r="L155" s="36">
        <f t="shared" si="4"/>
        <v>0</v>
      </c>
      <c r="M155" s="24" t="s">
        <v>419</v>
      </c>
    </row>
    <row r="156" spans="1:13" s="16" customFormat="1">
      <c r="A156" s="33">
        <v>155</v>
      </c>
      <c r="B156" s="32">
        <v>1</v>
      </c>
      <c r="C156" s="31">
        <v>810001430</v>
      </c>
      <c r="D156" s="30" t="s">
        <v>540</v>
      </c>
      <c r="E156" s="36">
        <v>16</v>
      </c>
      <c r="F156" s="19"/>
      <c r="G156" s="19"/>
      <c r="H156" s="19"/>
      <c r="I156" s="19"/>
      <c r="J156" s="19"/>
      <c r="K156" s="19"/>
      <c r="L156" s="36">
        <f t="shared" si="4"/>
        <v>16</v>
      </c>
      <c r="M156" s="24" t="s">
        <v>419</v>
      </c>
    </row>
    <row r="157" spans="1:13" s="16" customFormat="1">
      <c r="A157" s="33">
        <v>156</v>
      </c>
      <c r="B157" s="32"/>
      <c r="C157" s="31">
        <v>810001310</v>
      </c>
      <c r="D157" s="30" t="s">
        <v>541</v>
      </c>
      <c r="E157" s="36">
        <v>0</v>
      </c>
      <c r="F157" s="19"/>
      <c r="G157" s="19"/>
      <c r="H157" s="19"/>
      <c r="I157" s="19"/>
      <c r="J157" s="19"/>
      <c r="K157" s="19"/>
      <c r="L157" s="36">
        <f t="shared" si="4"/>
        <v>0</v>
      </c>
      <c r="M157" s="24" t="s">
        <v>419</v>
      </c>
    </row>
    <row r="158" spans="1:13" s="16" customFormat="1">
      <c r="A158" s="33">
        <v>157</v>
      </c>
      <c r="B158" s="32">
        <v>1</v>
      </c>
      <c r="C158" s="31">
        <v>810001330</v>
      </c>
      <c r="D158" s="30" t="s">
        <v>542</v>
      </c>
      <c r="E158" s="36">
        <v>0</v>
      </c>
      <c r="F158" s="19"/>
      <c r="G158" s="19"/>
      <c r="H158" s="19"/>
      <c r="I158" s="19"/>
      <c r="J158" s="19"/>
      <c r="K158" s="19"/>
      <c r="L158" s="36">
        <f t="shared" si="4"/>
        <v>0</v>
      </c>
      <c r="M158" s="24" t="s">
        <v>419</v>
      </c>
    </row>
    <row r="159" spans="1:13" s="16" customFormat="1">
      <c r="A159" s="33">
        <v>158</v>
      </c>
      <c r="B159" s="32">
        <v>1</v>
      </c>
      <c r="C159" s="31">
        <v>810001300</v>
      </c>
      <c r="D159" s="30" t="s">
        <v>543</v>
      </c>
      <c r="E159" s="36">
        <v>0</v>
      </c>
      <c r="F159" s="19"/>
      <c r="G159" s="19"/>
      <c r="H159" s="19"/>
      <c r="I159" s="19"/>
      <c r="J159" s="19"/>
      <c r="K159" s="19"/>
      <c r="L159" s="36">
        <f t="shared" si="4"/>
        <v>0</v>
      </c>
      <c r="M159" s="24" t="s">
        <v>419</v>
      </c>
    </row>
    <row r="160" spans="1:13" s="16" customFormat="1">
      <c r="A160" s="33">
        <v>159</v>
      </c>
      <c r="B160" s="32"/>
      <c r="C160" s="31">
        <v>815001300</v>
      </c>
      <c r="D160" s="30" t="s">
        <v>544</v>
      </c>
      <c r="E160" s="36">
        <v>0</v>
      </c>
      <c r="F160" s="19"/>
      <c r="G160" s="19"/>
      <c r="H160" s="19"/>
      <c r="I160" s="19"/>
      <c r="J160" s="19"/>
      <c r="K160" s="19"/>
      <c r="L160" s="36">
        <f t="shared" si="4"/>
        <v>0</v>
      </c>
      <c r="M160" s="24" t="s">
        <v>419</v>
      </c>
    </row>
    <row r="161" spans="1:13" s="16" customFormat="1">
      <c r="A161" s="33">
        <v>160</v>
      </c>
      <c r="B161" s="32">
        <v>1</v>
      </c>
      <c r="C161" s="31">
        <v>810001660</v>
      </c>
      <c r="D161" s="30" t="s">
        <v>545</v>
      </c>
      <c r="E161" s="36">
        <v>6</v>
      </c>
      <c r="F161" s="19"/>
      <c r="G161" s="19"/>
      <c r="H161" s="19"/>
      <c r="I161" s="19"/>
      <c r="J161" s="19"/>
      <c r="K161" s="19"/>
      <c r="L161" s="36">
        <f t="shared" si="4"/>
        <v>6</v>
      </c>
      <c r="M161" s="24" t="s">
        <v>419</v>
      </c>
    </row>
    <row r="162" spans="1:13" s="16" customFormat="1">
      <c r="A162" s="33">
        <v>161</v>
      </c>
      <c r="B162" s="32">
        <v>1</v>
      </c>
      <c r="C162" s="31">
        <v>810003300</v>
      </c>
      <c r="D162" s="30" t="s">
        <v>546</v>
      </c>
      <c r="E162" s="36">
        <v>2</v>
      </c>
      <c r="F162" s="19"/>
      <c r="G162" s="19"/>
      <c r="H162" s="19"/>
      <c r="I162" s="19"/>
      <c r="J162" s="19"/>
      <c r="K162" s="19"/>
      <c r="L162" s="36">
        <f t="shared" ref="L162:L174" si="5">E162-F162-G162-H162-I162-J162+K162</f>
        <v>2</v>
      </c>
      <c r="M162" s="24" t="s">
        <v>419</v>
      </c>
    </row>
    <row r="163" spans="1:13" s="16" customFormat="1">
      <c r="A163" s="33">
        <v>162</v>
      </c>
      <c r="B163" s="32">
        <v>1</v>
      </c>
      <c r="C163" s="31"/>
      <c r="D163" s="30" t="s">
        <v>547</v>
      </c>
      <c r="E163" s="36">
        <v>1</v>
      </c>
      <c r="F163" s="19"/>
      <c r="G163" s="19"/>
      <c r="H163" s="19"/>
      <c r="I163" s="19"/>
      <c r="J163" s="19"/>
      <c r="K163" s="19"/>
      <c r="L163" s="36">
        <f t="shared" si="5"/>
        <v>1</v>
      </c>
      <c r="M163" s="24" t="s">
        <v>419</v>
      </c>
    </row>
    <row r="164" spans="1:13" s="16" customFormat="1">
      <c r="A164" s="33">
        <v>163</v>
      </c>
      <c r="B164" s="32">
        <v>1</v>
      </c>
      <c r="C164" s="31">
        <v>371149344</v>
      </c>
      <c r="D164" s="30" t="s">
        <v>548</v>
      </c>
      <c r="E164" s="36">
        <v>2</v>
      </c>
      <c r="F164" s="19"/>
      <c r="G164" s="19"/>
      <c r="H164" s="19"/>
      <c r="I164" s="19"/>
      <c r="J164" s="19"/>
      <c r="K164" s="19"/>
      <c r="L164" s="36">
        <f t="shared" si="5"/>
        <v>2</v>
      </c>
      <c r="M164" s="24" t="s">
        <v>419</v>
      </c>
    </row>
    <row r="165" spans="1:13" s="16" customFormat="1">
      <c r="A165" s="33">
        <v>164</v>
      </c>
      <c r="B165" s="32">
        <v>1</v>
      </c>
      <c r="C165" s="31">
        <v>371130443</v>
      </c>
      <c r="D165" s="30" t="s">
        <v>549</v>
      </c>
      <c r="E165" s="36">
        <v>3</v>
      </c>
      <c r="F165" s="19"/>
      <c r="G165" s="19"/>
      <c r="H165" s="19"/>
      <c r="I165" s="19"/>
      <c r="J165" s="19"/>
      <c r="K165" s="19"/>
      <c r="L165" s="36">
        <f t="shared" si="5"/>
        <v>3</v>
      </c>
      <c r="M165" s="24" t="s">
        <v>550</v>
      </c>
    </row>
    <row r="166" spans="1:13" s="16" customFormat="1">
      <c r="A166" s="33">
        <v>165</v>
      </c>
      <c r="B166" s="32"/>
      <c r="C166" s="31">
        <v>371130433</v>
      </c>
      <c r="D166" s="30" t="s">
        <v>551</v>
      </c>
      <c r="E166" s="36">
        <v>0</v>
      </c>
      <c r="F166" s="19"/>
      <c r="G166" s="19"/>
      <c r="H166" s="19"/>
      <c r="I166" s="19"/>
      <c r="J166" s="19"/>
      <c r="K166" s="19"/>
      <c r="L166" s="36">
        <f t="shared" si="5"/>
        <v>0</v>
      </c>
      <c r="M166" s="24" t="s">
        <v>550</v>
      </c>
    </row>
    <row r="167" spans="1:13" s="16" customFormat="1" ht="31.7" customHeight="1">
      <c r="A167" s="33">
        <v>166</v>
      </c>
      <c r="B167" s="32"/>
      <c r="C167" s="31">
        <v>815003301</v>
      </c>
      <c r="D167" s="30" t="s">
        <v>552</v>
      </c>
      <c r="E167" s="36">
        <v>0</v>
      </c>
      <c r="F167" s="19"/>
      <c r="G167" s="19"/>
      <c r="H167" s="19"/>
      <c r="I167" s="19"/>
      <c r="J167" s="19"/>
      <c r="K167" s="19"/>
      <c r="L167" s="35">
        <f t="shared" si="5"/>
        <v>0</v>
      </c>
      <c r="M167" s="34" t="s">
        <v>419</v>
      </c>
    </row>
    <row r="168" spans="1:13" s="16" customFormat="1" ht="32.450000000000003" customHeight="1">
      <c r="A168" s="33">
        <v>167</v>
      </c>
      <c r="B168" s="32" t="s">
        <v>553</v>
      </c>
      <c r="C168" s="31" t="s">
        <v>554</v>
      </c>
      <c r="D168" s="30" t="s">
        <v>555</v>
      </c>
      <c r="E168" s="36">
        <v>9</v>
      </c>
      <c r="F168" s="19"/>
      <c r="G168" s="19"/>
      <c r="H168" s="19"/>
      <c r="I168" s="19"/>
      <c r="J168" s="19"/>
      <c r="K168" s="19"/>
      <c r="L168" s="36">
        <f t="shared" si="5"/>
        <v>9</v>
      </c>
      <c r="M168" s="24"/>
    </row>
    <row r="169" spans="1:13" s="16" customFormat="1" ht="32.450000000000003" customHeight="1">
      <c r="A169" s="29">
        <v>168</v>
      </c>
      <c r="B169" s="28"/>
      <c r="C169" s="27" t="s">
        <v>556</v>
      </c>
      <c r="D169" s="26" t="s">
        <v>557</v>
      </c>
      <c r="E169" s="35">
        <v>0</v>
      </c>
      <c r="F169" s="19"/>
      <c r="G169" s="19"/>
      <c r="H169" s="19"/>
      <c r="I169" s="19"/>
      <c r="J169" s="19"/>
      <c r="K169" s="19"/>
      <c r="L169" s="35">
        <f t="shared" si="5"/>
        <v>0</v>
      </c>
      <c r="M169" s="34"/>
    </row>
    <row r="170" spans="1:13" s="16" customFormat="1">
      <c r="A170" s="33">
        <v>170</v>
      </c>
      <c r="B170" s="32">
        <v>1</v>
      </c>
      <c r="C170" s="31"/>
      <c r="D170" s="30" t="s">
        <v>558</v>
      </c>
      <c r="E170" s="25">
        <v>27</v>
      </c>
      <c r="F170" s="19"/>
      <c r="G170" s="19"/>
      <c r="H170" s="19"/>
      <c r="I170" s="19"/>
      <c r="J170" s="19"/>
      <c r="K170" s="19"/>
      <c r="L170" s="25">
        <f t="shared" si="5"/>
        <v>27</v>
      </c>
      <c r="M170" s="24" t="s">
        <v>419</v>
      </c>
    </row>
    <row r="171" spans="1:13" s="16" customFormat="1">
      <c r="A171" s="33">
        <v>171</v>
      </c>
      <c r="B171" s="32">
        <v>1</v>
      </c>
      <c r="C171" s="31"/>
      <c r="D171" s="30" t="s">
        <v>559</v>
      </c>
      <c r="E171" s="25">
        <v>0</v>
      </c>
      <c r="F171" s="19"/>
      <c r="G171" s="19"/>
      <c r="H171" s="19"/>
      <c r="I171" s="19"/>
      <c r="J171" s="19"/>
      <c r="K171" s="19"/>
      <c r="L171" s="25">
        <f t="shared" si="5"/>
        <v>0</v>
      </c>
      <c r="M171" s="24" t="s">
        <v>419</v>
      </c>
    </row>
    <row r="172" spans="1:13" s="16" customFormat="1">
      <c r="A172" s="33">
        <v>172</v>
      </c>
      <c r="B172" s="32">
        <v>1</v>
      </c>
      <c r="C172" s="31"/>
      <c r="D172" s="30" t="s">
        <v>560</v>
      </c>
      <c r="E172" s="25">
        <v>6</v>
      </c>
      <c r="F172" s="19"/>
      <c r="G172" s="19"/>
      <c r="H172" s="19"/>
      <c r="I172" s="19"/>
      <c r="J172" s="19"/>
      <c r="K172" s="19"/>
      <c r="L172" s="25">
        <f t="shared" si="5"/>
        <v>6</v>
      </c>
      <c r="M172" s="24" t="s">
        <v>419</v>
      </c>
    </row>
    <row r="173" spans="1:13" s="16" customFormat="1" ht="32.450000000000003" customHeight="1">
      <c r="A173" s="29">
        <v>174</v>
      </c>
      <c r="B173" s="28">
        <v>1</v>
      </c>
      <c r="C173" s="27"/>
      <c r="D173" s="26" t="s">
        <v>561</v>
      </c>
      <c r="E173" s="25">
        <v>1</v>
      </c>
      <c r="F173" s="19"/>
      <c r="G173" s="19"/>
      <c r="H173" s="19"/>
      <c r="I173" s="19"/>
      <c r="J173" s="19"/>
      <c r="K173" s="19"/>
      <c r="L173" s="25">
        <f t="shared" si="5"/>
        <v>1</v>
      </c>
      <c r="M173" s="24" t="s">
        <v>419</v>
      </c>
    </row>
    <row r="174" spans="1:13" s="16" customFormat="1" ht="32.450000000000003" customHeight="1" thickBot="1">
      <c r="A174" s="23">
        <v>175</v>
      </c>
      <c r="B174" s="22">
        <v>1</v>
      </c>
      <c r="C174" s="21"/>
      <c r="D174" s="20" t="s">
        <v>562</v>
      </c>
      <c r="E174" s="18">
        <v>2</v>
      </c>
      <c r="F174" s="19"/>
      <c r="G174" s="19"/>
      <c r="H174" s="19"/>
      <c r="I174" s="19"/>
      <c r="J174" s="19"/>
      <c r="K174" s="19"/>
      <c r="L174" s="18">
        <f t="shared" si="5"/>
        <v>2</v>
      </c>
      <c r="M174" s="17" t="s">
        <v>563</v>
      </c>
    </row>
    <row r="175" spans="1:13" ht="30.95" thickBot="1">
      <c r="A175" s="132" t="s">
        <v>564</v>
      </c>
      <c r="B175" s="133"/>
      <c r="C175" s="133"/>
      <c r="D175" s="134"/>
      <c r="E175" s="14">
        <f t="shared" ref="E175:L175" si="6">SUM(E2:E174)</f>
        <v>2276</v>
      </c>
      <c r="F175" s="15">
        <f t="shared" si="6"/>
        <v>6</v>
      </c>
      <c r="G175" s="15">
        <f t="shared" si="6"/>
        <v>21</v>
      </c>
      <c r="H175" s="15">
        <f t="shared" si="6"/>
        <v>140</v>
      </c>
      <c r="I175" s="15">
        <f t="shared" si="6"/>
        <v>0</v>
      </c>
      <c r="J175" s="15">
        <f t="shared" si="6"/>
        <v>39</v>
      </c>
      <c r="K175" s="15">
        <f t="shared" si="6"/>
        <v>1640</v>
      </c>
      <c r="L175" s="14">
        <f t="shared" si="6"/>
        <v>3710</v>
      </c>
      <c r="M175" s="13"/>
    </row>
  </sheetData>
  <autoFilter ref="A1:M176" xr:uid="{00000000-0009-0000-0000-000018000000}"/>
  <mergeCells count="1">
    <mergeCell ref="A175:D175"/>
  </mergeCells>
  <phoneticPr fontId="3" type="noConversion"/>
  <pageMargins left="0.70866141732283472" right="0.35433070866141736" top="0.74803149606299213" bottom="0.74803149606299213" header="0.31496062992125984" footer="0.31496062992125984"/>
  <pageSetup paperSize="9" scale="32" fitToHeight="0" orientation="landscape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이지우</dc:creator>
  <cp:keywords/>
  <dc:description/>
  <cp:lastModifiedBy/>
  <cp:revision/>
  <dcterms:created xsi:type="dcterms:W3CDTF">2025-12-15T02:40:12Z</dcterms:created>
  <dcterms:modified xsi:type="dcterms:W3CDTF">2026-03-17T00:47:43Z</dcterms:modified>
  <cp:category/>
  <cp:contentStatus/>
</cp:coreProperties>
</file>